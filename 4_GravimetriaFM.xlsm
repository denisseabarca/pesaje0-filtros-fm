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FM\"/>
    </mc:Choice>
  </mc:AlternateContent>
  <xr:revisionPtr revIDLastSave="0" documentId="13_ncr:1_{9F1FEF87-B582-4ACB-94AC-229DF04E1F34}" xr6:coauthVersionLast="47" xr6:coauthVersionMax="47" xr10:uidLastSave="{00000000-0000-0000-0000-000000000000}"/>
  <workbookProtection workbookAlgorithmName="SHA-512" workbookHashValue="ZH0llxjBJvaJSHjNxgyc6KHYdJ58ExyU85iv48LSXlg1HQgOrcLsmM4i686ByGl60lAgIX+H/tt72AK0fYn2jQ==" workbookSaltValue="62gb+lBxW9SX8yVe6yJNT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2" i="1"/>
  <c r="E2" i="1"/>
  <c r="I20" i="4" l="1"/>
  <c r="G20" i="4"/>
  <c r="E20" i="4"/>
  <c r="C20" i="4"/>
  <c r="A3" i="4"/>
  <c r="J3" i="4" s="1"/>
  <c r="A4" i="4"/>
  <c r="J4" i="4" s="1"/>
  <c r="A5" i="4"/>
  <c r="J5" i="4" s="1"/>
  <c r="A6" i="4"/>
  <c r="F6" i="4" s="1"/>
  <c r="A7" i="4"/>
  <c r="A8" i="4"/>
  <c r="J8" i="4" s="1"/>
  <c r="A9" i="4"/>
  <c r="J9" i="4" s="1"/>
  <c r="A10" i="4"/>
  <c r="J10" i="4" s="1"/>
  <c r="A11" i="4"/>
  <c r="I11" i="4" s="1"/>
  <c r="A12" i="4"/>
  <c r="J12" i="4" s="1"/>
  <c r="A13" i="4"/>
  <c r="J13" i="4" s="1"/>
  <c r="A14" i="4"/>
  <c r="J14" i="4" s="1"/>
  <c r="A15" i="4"/>
  <c r="I15" i="4" s="1"/>
  <c r="A16" i="4"/>
  <c r="J16" i="4" s="1"/>
  <c r="A17" i="4"/>
  <c r="J17" i="4" s="1"/>
  <c r="A18" i="4"/>
  <c r="J18" i="4" s="1"/>
  <c r="A19" i="4"/>
  <c r="I19" i="4" s="1"/>
  <c r="A20" i="4"/>
  <c r="J20" i="4" s="1"/>
  <c r="A21" i="4"/>
  <c r="J21" i="4" s="1"/>
  <c r="A22" i="4"/>
  <c r="J22" i="4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16" i="4" l="1"/>
  <c r="E16" i="4"/>
  <c r="G16" i="4"/>
  <c r="I16" i="4"/>
  <c r="C12" i="4"/>
  <c r="E12" i="4"/>
  <c r="G12" i="4"/>
  <c r="I12" i="4"/>
  <c r="C8" i="4"/>
  <c r="G8" i="4"/>
  <c r="B20" i="4"/>
  <c r="B16" i="4"/>
  <c r="B12" i="4"/>
  <c r="B8" i="4"/>
  <c r="C22" i="4"/>
  <c r="C18" i="4"/>
  <c r="C14" i="4"/>
  <c r="C10" i="4"/>
  <c r="C6" i="4"/>
  <c r="D20" i="4"/>
  <c r="D16" i="4"/>
  <c r="D12" i="4"/>
  <c r="E22" i="4"/>
  <c r="E18" i="4"/>
  <c r="E14" i="4"/>
  <c r="E10" i="4"/>
  <c r="F20" i="4"/>
  <c r="F16" i="4"/>
  <c r="F12" i="4"/>
  <c r="F8" i="4"/>
  <c r="G22" i="4"/>
  <c r="G18" i="4"/>
  <c r="G14" i="4"/>
  <c r="G10" i="4"/>
  <c r="G6" i="4"/>
  <c r="H20" i="4"/>
  <c r="H16" i="4"/>
  <c r="H12" i="4"/>
  <c r="I22" i="4"/>
  <c r="I18" i="4"/>
  <c r="I14" i="4"/>
  <c r="I10" i="4"/>
  <c r="B22" i="4"/>
  <c r="D22" i="4"/>
  <c r="D18" i="4"/>
  <c r="D14" i="4"/>
  <c r="D10" i="4"/>
  <c r="F22" i="4"/>
  <c r="F14" i="4"/>
  <c r="H18" i="4"/>
  <c r="B19" i="4"/>
  <c r="B15" i="4"/>
  <c r="B11" i="4"/>
  <c r="B7" i="4"/>
  <c r="C21" i="4"/>
  <c r="C17" i="4"/>
  <c r="C13" i="4"/>
  <c r="C9" i="4"/>
  <c r="C5" i="4"/>
  <c r="D19" i="4"/>
  <c r="D15" i="4"/>
  <c r="D11" i="4"/>
  <c r="E21" i="4"/>
  <c r="E17" i="4"/>
  <c r="E13" i="4"/>
  <c r="F19" i="4"/>
  <c r="F15" i="4"/>
  <c r="F11" i="4"/>
  <c r="F7" i="4"/>
  <c r="G21" i="4"/>
  <c r="G17" i="4"/>
  <c r="G13" i="4"/>
  <c r="G9" i="4"/>
  <c r="G5" i="4"/>
  <c r="H19" i="4"/>
  <c r="H15" i="4"/>
  <c r="H11" i="4"/>
  <c r="I21" i="4"/>
  <c r="I17" i="4"/>
  <c r="I13" i="4"/>
  <c r="J19" i="4"/>
  <c r="J15" i="4"/>
  <c r="J11" i="4"/>
  <c r="J7" i="4"/>
  <c r="J6" i="4"/>
  <c r="B18" i="4"/>
  <c r="B14" i="4"/>
  <c r="B10" i="4"/>
  <c r="B6" i="4"/>
  <c r="F18" i="4"/>
  <c r="F10" i="4"/>
  <c r="H22" i="4"/>
  <c r="H14" i="4"/>
  <c r="H10" i="4"/>
  <c r="B21" i="4"/>
  <c r="B17" i="4"/>
  <c r="B13" i="4"/>
  <c r="B9" i="4"/>
  <c r="B5" i="4"/>
  <c r="C19" i="4"/>
  <c r="C15" i="4"/>
  <c r="C11" i="4"/>
  <c r="C7" i="4"/>
  <c r="D21" i="4"/>
  <c r="D17" i="4"/>
  <c r="D13" i="4"/>
  <c r="E19" i="4"/>
  <c r="E15" i="4"/>
  <c r="E11" i="4"/>
  <c r="F21" i="4"/>
  <c r="F17" i="4"/>
  <c r="F13" i="4"/>
  <c r="F9" i="4"/>
  <c r="F5" i="4"/>
  <c r="G19" i="4"/>
  <c r="G15" i="4"/>
  <c r="G11" i="4"/>
  <c r="G7" i="4"/>
  <c r="H21" i="4"/>
  <c r="H17" i="4"/>
  <c r="H13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A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Y12" i="3"/>
  <c r="X13" i="3"/>
  <c r="Y13" i="3"/>
  <c r="X14" i="3"/>
  <c r="Y14" i="3"/>
  <c r="X15" i="3"/>
  <c r="Y15" i="3"/>
  <c r="X16" i="3"/>
  <c r="Y16" i="3"/>
  <c r="X17" i="3"/>
  <c r="Y17" i="3"/>
  <c r="X18" i="3"/>
  <c r="Y18" i="3"/>
  <c r="X19" i="3"/>
  <c r="Y19" i="3"/>
  <c r="X20" i="3"/>
  <c r="Y20" i="3"/>
  <c r="X21" i="3"/>
  <c r="Y21" i="3"/>
  <c r="X22" i="3"/>
  <c r="Y22" i="3"/>
  <c r="X23" i="3"/>
  <c r="Y23" i="3"/>
  <c r="X24" i="3"/>
  <c r="Y24" i="3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" i="4" l="1"/>
</calcChain>
</file>

<file path=xl/sharedStrings.xml><?xml version="1.0" encoding="utf-8"?>
<sst xmlns="http://schemas.openxmlformats.org/spreadsheetml/2006/main" count="69" uniqueCount="43">
  <si>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</si>
  <si>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</si>
  <si>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</si>
  <si>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</si>
  <si>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</si>
  <si>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</si>
  <si>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</si>
  <si>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</si>
  <si>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GRAV_MON_FM</t>
  </si>
  <si>
    <t>end</t>
  </si>
  <si>
    <t>GRAV_BLK_FM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</si>
  <si>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</si>
  <si>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</si>
  <si>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</si>
  <si>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</si>
  <si>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</si>
  <si>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</si>
  <si>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</si>
  <si>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</si>
  <si>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</si>
  <si>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</si>
  <si>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</si>
  <si>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</si>
  <si>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</si>
  <si>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</si>
  <si>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</si>
  <si>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</si>
  <si>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</si>
  <si>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GRAV_FM100</t>
  </si>
  <si>
    <t>Pesaje de Filtros</t>
  </si>
  <si>
    <t>Código Termohigrómetro:</t>
  </si>
  <si>
    <t>Código Masa Patrón:</t>
  </si>
  <si>
    <t>Tipo de Filtro:</t>
  </si>
  <si>
    <t>FM-100 Monitoreado</t>
  </si>
  <si>
    <t>Peso_1
mg</t>
  </si>
  <si>
    <t>ID FILTRO</t>
  </si>
  <si>
    <t>Peso_4
mg</t>
  </si>
  <si>
    <t>Fecha_4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</si>
  <si>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</si>
  <si>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</si>
  <si>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YZ</t>
  </si>
  <si>
    <t>MSP-001</t>
  </si>
  <si>
    <t>THI-004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</si>
</sst>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/mm/dd\ hh:mm:ss"/>
    <numFmt numFmtId="165" formatCode="0.000"/>
    <numFmt numFmtId="166" formatCode="0.0"/>
    <numFmt numFmtId="167" formatCode="yyyy/mm/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0" sqref="A10"/>
    </sheetView>
  </sheetViews>
  <sheetFormatPr baseColWidth="10" defaultRowHeight="15" x14ac:dyDescent="0.25"/>
  <cols>
    <col min="1" max="2" width="16.7109375" style="2" customWidth="1"/>
    <col min="3" max="6" width="16.7109375" style="12" customWidth="1"/>
    <col min="7" max="7" width="26.7109375" style="9" customWidth="1"/>
    <col min="8" max="8" width="19.7109375" style="12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10" t="s">
        <v>20</v>
      </c>
      <c r="F1" s="10" t="s">
        <v>19</v>
      </c>
      <c r="G1" s="7" t="s">
        <v>4</v>
      </c>
      <c r="H1" s="38" t="s">
        <v>10</v>
      </c>
      <c r="I1" s="3" t="s">
        <v>5</v>
      </c>
      <c r="J1" s="4" t="s">
        <v>9</v>
      </c>
    </row>
    <row r="2" spans="1:10" x14ac:dyDescent="0.25">
      <c r="A2" s="1">
        <v>6548</v>
      </c>
      <c r="B2" s="6"/>
      <c r="C2" s="11" t="str">
        <f>IF($A2&lt;&gt;"",IFERROR(VLOOKUP($A2,#REF!,14,FALSE),""),"")</f>
        <v/>
      </c>
      <c r="D2" s="11" t="str">
        <f>IF($A2&lt;&gt;"",IFERROR(VLOOKUP($A2,#REF!,20,FALSE),""),"")</f>
        <v/>
      </c>
      <c r="E2" s="11" t="str">
        <f>IF($A2&lt;&gt;"",IFERROR(VLOOKUP($A2,#REF!,24,FALSE),""),"")</f>
        <v/>
      </c>
      <c r="F2" s="11" t="str">
        <f>IF($A2&lt;&gt;"",IFERROR(VLOOKUP($A2,#REF!,25,FALSE),""),"")</f>
        <v/>
      </c>
      <c r="G2" s="8" t="str">
        <f>IF($A2&lt;&gt;"",IFERROR(VLOOKUP($A2,#REF!,21,FALSE),""),"")</f>
        <v/>
      </c>
      <c r="H2" s="39" t="str">
        <f>IF($A2&lt;&gt;"",IFERROR(VLOOKUP($A2,#REF!,26,FALSE),""),"")</f>
        <v/>
      </c>
      <c r="I2" s="5"/>
    </row>
    <row r="3" spans="1:10" x14ac:dyDescent="0.25">
      <c r="A3" s="1">
        <v>6680</v>
      </c>
      <c r="B3" s="6"/>
      <c r="C3" s="11" t="str">
        <f>IF($A3&lt;&gt;"",IFERROR(VLOOKUP($A3,#REF!,14,FALSE),""),"")</f>
        <v/>
      </c>
      <c r="D3" s="11" t="str">
        <f>IF($A3&lt;&gt;"",IFERROR(VLOOKUP($A3,#REF!,20,FALSE),""),"")</f>
        <v/>
      </c>
      <c r="E3" s="11" t="str">
        <f>IF($A3&lt;&gt;"",IFERROR(VLOOKUP($A3,#REF!,24,FALSE),""),"")</f>
        <v/>
      </c>
      <c r="F3" s="11" t="str">
        <f>IF($A3&lt;&gt;"",IFERROR(VLOOKUP($A3,#REF!,25,FALSE),""),"")</f>
        <v/>
      </c>
      <c r="G3" s="8" t="str">
        <f>IF($A3&lt;&gt;"",IFERROR(VLOOKUP($A3,#REF!,21,FALSE),""),"")</f>
        <v/>
      </c>
      <c r="H3" s="39" t="str">
        <f>IF($A3&lt;&gt;"",IFERROR(VLOOKUP($A3,#REF!,26,FALSE),""),"")</f>
        <v/>
      </c>
      <c r="I3" s="5"/>
    </row>
    <row r="4" spans="1:10" x14ac:dyDescent="0.25">
      <c r="A4" s="1">
        <v>6681</v>
      </c>
      <c r="B4" s="6"/>
      <c r="C4" s="11" t="str">
        <f>IF($A4&lt;&gt;"",IFERROR(VLOOKUP($A4,#REF!,14,FALSE),""),"")</f>
        <v/>
      </c>
      <c r="D4" s="11" t="str">
        <f>IF($A4&lt;&gt;"",IFERROR(VLOOKUP($A4,#REF!,20,FALSE),""),"")</f>
        <v/>
      </c>
      <c r="E4" s="11" t="str">
        <f>IF($A4&lt;&gt;"",IFERROR(VLOOKUP($A4,#REF!,24,FALSE),""),"")</f>
        <v/>
      </c>
      <c r="F4" s="11" t="str">
        <f>IF($A4&lt;&gt;"",IFERROR(VLOOKUP($A4,#REF!,25,FALSE),""),"")</f>
        <v/>
      </c>
      <c r="G4" s="8" t="str">
        <f>IF($A4&lt;&gt;"",IFERROR(VLOOKUP($A4,#REF!,21,FALSE),""),"")</f>
        <v/>
      </c>
      <c r="H4" s="39" t="str">
        <f>IF($A4&lt;&gt;"",IFERROR(VLOOKUP($A4,#REF!,26,FALSE),""),"")</f>
        <v/>
      </c>
      <c r="I4" s="5"/>
    </row>
    <row r="5" spans="1:10" x14ac:dyDescent="0.25">
      <c r="A5" s="1">
        <v>6682</v>
      </c>
      <c r="B5" s="6"/>
      <c r="C5" s="11" t="str">
        <f>IF($A5&lt;&gt;"",IFERROR(VLOOKUP($A5,#REF!,14,FALSE),""),"")</f>
        <v/>
      </c>
      <c r="D5" s="11" t="str">
        <f>IF($A5&lt;&gt;"",IFERROR(VLOOKUP($A5,#REF!,20,FALSE),""),"")</f>
        <v/>
      </c>
      <c r="E5" s="11" t="str">
        <f>IF($A5&lt;&gt;"",IFERROR(VLOOKUP($A5,#REF!,24,FALSE),""),"")</f>
        <v/>
      </c>
      <c r="F5" s="11" t="str">
        <f>IF($A5&lt;&gt;"",IFERROR(VLOOKUP($A5,#REF!,25,FALSE),""),"")</f>
        <v/>
      </c>
      <c r="G5" s="8" t="str">
        <f>IF($A5&lt;&gt;"",IFERROR(VLOOKUP($A5,#REF!,21,FALSE),""),"")</f>
        <v/>
      </c>
      <c r="H5" s="39" t="str">
        <f>IF($A5&lt;&gt;"",IFERROR(VLOOKUP($A5,#REF!,26,FALSE),""),"")</f>
        <v/>
      </c>
      <c r="I5" s="5"/>
    </row>
    <row r="6" spans="1:10" x14ac:dyDescent="0.25">
      <c r="A6" s="1">
        <v>6683</v>
      </c>
      <c r="B6" s="6"/>
      <c r="C6" s="11" t="str">
        <f>IF($A6&lt;&gt;"",IFERROR(VLOOKUP($A6,#REF!,14,FALSE),""),"")</f>
        <v/>
      </c>
      <c r="D6" s="11" t="str">
        <f>IF($A6&lt;&gt;"",IFERROR(VLOOKUP($A6,#REF!,20,FALSE),""),"")</f>
        <v/>
      </c>
      <c r="E6" s="11" t="str">
        <f>IF($A6&lt;&gt;"",IFERROR(VLOOKUP($A6,#REF!,24,FALSE),""),"")</f>
        <v/>
      </c>
      <c r="F6" s="11" t="str">
        <f>IF($A6&lt;&gt;"",IFERROR(VLOOKUP($A6,#REF!,25,FALSE),""),"")</f>
        <v/>
      </c>
      <c r="G6" s="8" t="str">
        <f>IF($A6&lt;&gt;"",IFERROR(VLOOKUP($A6,#REF!,21,FALSE),""),"")</f>
        <v/>
      </c>
      <c r="H6" s="39" t="str">
        <f>IF($A6&lt;&gt;"",IFERROR(VLOOKUP($A6,#REF!,26,FALSE),""),"")</f>
        <v/>
      </c>
      <c r="I6" s="5"/>
    </row>
    <row r="7" spans="1:10" x14ac:dyDescent="0.25">
      <c r="A7" s="1">
        <v>6710</v>
      </c>
      <c r="B7" s="6"/>
      <c r="C7" s="11" t="str">
        <f>IF($A7&lt;&gt;"",IFERROR(VLOOKUP($A7,#REF!,14,FALSE),""),"")</f>
        <v/>
      </c>
      <c r="D7" s="11" t="str">
        <f>IF($A7&lt;&gt;"",IFERROR(VLOOKUP($A7,#REF!,20,FALSE),""),"")</f>
        <v/>
      </c>
      <c r="E7" s="11" t="str">
        <f>IF($A7&lt;&gt;"",IFERROR(VLOOKUP($A7,#REF!,24,FALSE),""),"")</f>
        <v/>
      </c>
      <c r="F7" s="11" t="str">
        <f>IF($A7&lt;&gt;"",IFERROR(VLOOKUP($A7,#REF!,25,FALSE),""),"")</f>
        <v/>
      </c>
      <c r="G7" s="8" t="str">
        <f>IF($A7&lt;&gt;"",IFERROR(VLOOKUP($A7,#REF!,21,FALSE),""),"")</f>
        <v/>
      </c>
      <c r="H7" s="39" t="str">
        <f>IF($A7&lt;&gt;"",IFERROR(VLOOKUP($A7,#REF!,26,FALSE),""),"")</f>
        <v/>
      </c>
      <c r="I7" s="5"/>
    </row>
    <row r="8" spans="1:10" x14ac:dyDescent="0.25">
      <c r="A8" s="1">
        <v>6738</v>
      </c>
      <c r="B8" s="6"/>
      <c r="C8" s="11" t="str">
        <f>IF($A8&lt;&gt;"",IFERROR(VLOOKUP($A8,#REF!,14,FALSE),""),"")</f>
        <v/>
      </c>
      <c r="D8" s="11" t="str">
        <f>IF($A8&lt;&gt;"",IFERROR(VLOOKUP($A8,#REF!,20,FALSE),""),"")</f>
        <v/>
      </c>
      <c r="E8" s="11" t="str">
        <f>IF($A8&lt;&gt;"",IFERROR(VLOOKUP($A8,#REF!,24,FALSE),""),"")</f>
        <v/>
      </c>
      <c r="F8" s="11" t="str">
        <f>IF($A8&lt;&gt;"",IFERROR(VLOOKUP($A8,#REF!,25,FALSE),""),"")</f>
        <v/>
      </c>
      <c r="G8" s="8" t="str">
        <f>IF($A8&lt;&gt;"",IFERROR(VLOOKUP($A8,#REF!,21,FALSE),""),"")</f>
        <v/>
      </c>
      <c r="H8" s="39" t="str">
        <f>IF($A8&lt;&gt;"",IFERROR(VLOOKUP($A8,#REF!,26,FALSE),""),"")</f>
        <v/>
      </c>
      <c r="I8" s="5"/>
    </row>
    <row r="9" spans="1:10" x14ac:dyDescent="0.25">
      <c r="A9" s="1" t="s">
        <v>39</v>
      </c>
      <c r="B9" s="6"/>
      <c r="C9" s="11" t="str">
        <f>IF($A9&lt;&gt;"",IFERROR(VLOOKUP($A9,#REF!,14,FALSE),""),"")</f>
        <v/>
      </c>
      <c r="D9" s="11" t="str">
        <f>IF($A9&lt;&gt;"",IFERROR(VLOOKUP($A9,#REF!,20,FALSE),""),"")</f>
        <v/>
      </c>
      <c r="E9" s="11" t="str">
        <f>IF($A9&lt;&gt;"",IFERROR(VLOOKUP($A9,#REF!,24,FALSE),""),"")</f>
        <v/>
      </c>
      <c r="F9" s="11" t="str">
        <f>IF($A9&lt;&gt;"",IFERROR(VLOOKUP($A9,#REF!,25,FALSE),""),"")</f>
        <v/>
      </c>
      <c r="G9" s="8" t="str">
        <f>IF($A9&lt;&gt;"",IFERROR(VLOOKUP($A9,#REF!,21,FALSE),""),"")</f>
        <v/>
      </c>
      <c r="H9" s="39" t="str">
        <f>IF($A9&lt;&gt;"",IFERROR(VLOOKUP($A9,#REF!,26,FALSE),""),"")</f>
        <v/>
      </c>
      <c r="I9" s="5"/>
    </row>
    <row r="10" spans="1:10" x14ac:dyDescent="0.25">
      <c r="A10" s="1"/>
      <c r="B10" s="6"/>
      <c r="C10" s="11" t="str">
        <f>IF($A10&lt;&gt;"",IFERROR(VLOOKUP($A10,#REF!,14,FALSE),""),"")</f>
        <v/>
      </c>
      <c r="D10" s="11" t="str">
        <f>IF($A10&lt;&gt;"",IFERROR(VLOOKUP($A10,#REF!,20,FALSE),""),"")</f>
        <v/>
      </c>
      <c r="E10" s="11" t="str">
        <f>IF($A10&lt;&gt;"",IFERROR(VLOOKUP($A10,#REF!,24,FALSE),""),"")</f>
        <v/>
      </c>
      <c r="F10" s="11" t="str">
        <f>IF($A10&lt;&gt;"",IFERROR(VLOOKUP($A10,#REF!,25,FALSE),""),"")</f>
        <v/>
      </c>
      <c r="G10" s="8" t="str">
        <f>IF($A10&lt;&gt;"",IFERROR(VLOOKUP($A10,#REF!,21,FALSE),""),"")</f>
        <v/>
      </c>
      <c r="H10" s="39" t="str">
        <f>IF($A10&lt;&gt;"",IFERROR(VLOOKUP($A10,#REF!,26,FALSE),""),"")</f>
        <v/>
      </c>
      <c r="I10" s="5"/>
    </row>
    <row r="11" spans="1:10" x14ac:dyDescent="0.25">
      <c r="A11" s="1"/>
      <c r="B11" s="6"/>
      <c r="C11" s="11" t="str">
        <f>IF($A11&lt;&gt;"",IFERROR(VLOOKUP($A11,#REF!,14,FALSE),""),"")</f>
        <v/>
      </c>
      <c r="D11" s="11" t="str">
        <f>IF($A11&lt;&gt;"",IFERROR(VLOOKUP($A11,#REF!,20,FALSE),""),"")</f>
        <v/>
      </c>
      <c r="E11" s="11" t="str">
        <f>IF($A11&lt;&gt;"",IFERROR(VLOOKUP($A11,#REF!,24,FALSE),""),"")</f>
        <v/>
      </c>
      <c r="F11" s="11" t="str">
        <f>IF($A11&lt;&gt;"",IFERROR(VLOOKUP($A11,#REF!,25,FALSE),""),"")</f>
        <v/>
      </c>
      <c r="G11" s="8" t="str">
        <f>IF($A11&lt;&gt;"",IFERROR(VLOOKUP($A11,#REF!,21,FALSE),""),"")</f>
        <v/>
      </c>
      <c r="H11" s="39" t="str">
        <f>IF($A11&lt;&gt;"",IFERROR(VLOOKUP($A11,#REF!,26,FALSE),""),"")</f>
        <v/>
      </c>
      <c r="I11" s="5"/>
    </row>
    <row r="12" spans="1:10" x14ac:dyDescent="0.25">
      <c r="A12" s="1"/>
      <c r="B12" s="6"/>
      <c r="C12" s="11" t="str">
        <f>IF($A12&lt;&gt;"",IFERROR(VLOOKUP($A12,#REF!,14,FALSE),""),"")</f>
        <v/>
      </c>
      <c r="D12" s="11" t="str">
        <f>IF($A12&lt;&gt;"",IFERROR(VLOOKUP($A12,#REF!,20,FALSE),""),"")</f>
        <v/>
      </c>
      <c r="E12" s="11" t="str">
        <f>IF($A12&lt;&gt;"",IFERROR(VLOOKUP($A12,#REF!,24,FALSE),""),"")</f>
        <v/>
      </c>
      <c r="F12" s="11" t="str">
        <f>IF($A12&lt;&gt;"",IFERROR(VLOOKUP($A12,#REF!,25,FALSE),""),"")</f>
        <v/>
      </c>
      <c r="G12" s="8" t="str">
        <f>IF($A12&lt;&gt;"",IFERROR(VLOOKUP($A12,#REF!,21,FALSE),""),"")</f>
        <v/>
      </c>
      <c r="H12" s="39" t="str">
        <f>IF($A12&lt;&gt;"",IFERROR(VLOOKUP($A12,#REF!,26,FALSE),""),"")</f>
        <v/>
      </c>
      <c r="I12" s="5"/>
    </row>
    <row r="13" spans="1:10" x14ac:dyDescent="0.25">
      <c r="A13" s="1"/>
      <c r="B13" s="6"/>
      <c r="C13" s="11" t="str">
        <f>IF($A13&lt;&gt;"",IFERROR(VLOOKUP($A13,#REF!,14,FALSE),""),"")</f>
        <v/>
      </c>
      <c r="D13" s="11" t="str">
        <f>IF($A13&lt;&gt;"",IFERROR(VLOOKUP($A13,#REF!,20,FALSE),""),"")</f>
        <v/>
      </c>
      <c r="E13" s="11" t="str">
        <f>IF($A13&lt;&gt;"",IFERROR(VLOOKUP($A13,#REF!,24,FALSE),""),"")</f>
        <v/>
      </c>
      <c r="F13" s="11" t="str">
        <f>IF($A13&lt;&gt;"",IFERROR(VLOOKUP($A13,#REF!,25,FALSE),""),"")</f>
        <v/>
      </c>
      <c r="G13" s="8" t="str">
        <f>IF($A13&lt;&gt;"",IFERROR(VLOOKUP($A13,#REF!,21,FALSE),""),"")</f>
        <v/>
      </c>
      <c r="H13" s="39" t="str">
        <f>IF($A13&lt;&gt;"",IFERROR(VLOOKUP($A13,#REF!,26,FALSE),""),"")</f>
        <v/>
      </c>
      <c r="I13" s="5"/>
    </row>
    <row r="14" spans="1:10" x14ac:dyDescent="0.25">
      <c r="A14" s="1"/>
      <c r="B14" s="6"/>
      <c r="C14" s="11" t="str">
        <f>IF($A14&lt;&gt;"",IFERROR(VLOOKUP($A14,#REF!,14,FALSE),""),"")</f>
        <v/>
      </c>
      <c r="D14" s="11" t="str">
        <f>IF($A14&lt;&gt;"",IFERROR(VLOOKUP($A14,#REF!,20,FALSE),""),"")</f>
        <v/>
      </c>
      <c r="E14" s="11" t="str">
        <f>IF($A14&lt;&gt;"",IFERROR(VLOOKUP($A14,#REF!,24,FALSE),""),"")</f>
        <v/>
      </c>
      <c r="F14" s="11" t="str">
        <f>IF($A14&lt;&gt;"",IFERROR(VLOOKUP($A14,#REF!,25,FALSE),""),"")</f>
        <v/>
      </c>
      <c r="G14" s="8" t="str">
        <f>IF($A14&lt;&gt;"",IFERROR(VLOOKUP($A14,#REF!,21,FALSE),""),"")</f>
        <v/>
      </c>
      <c r="H14" s="39" t="str">
        <f>IF($A14&lt;&gt;"",IFERROR(VLOOKUP($A14,#REF!,26,FALSE),""),"")</f>
        <v/>
      </c>
      <c r="I14" s="5"/>
    </row>
    <row r="15" spans="1:10" x14ac:dyDescent="0.25">
      <c r="A15" s="1"/>
      <c r="B15" s="6"/>
      <c r="C15" s="11" t="str">
        <f>IF($A15&lt;&gt;"",IFERROR(VLOOKUP($A15,#REF!,14,FALSE),""),"")</f>
        <v/>
      </c>
      <c r="D15" s="11" t="str">
        <f>IF($A15&lt;&gt;"",IFERROR(VLOOKUP($A15,#REF!,20,FALSE),""),"")</f>
        <v/>
      </c>
      <c r="E15" s="11" t="str">
        <f>IF($A15&lt;&gt;"",IFERROR(VLOOKUP($A15,#REF!,24,FALSE),""),"")</f>
        <v/>
      </c>
      <c r="F15" s="11" t="str">
        <f>IF($A15&lt;&gt;"",IFERROR(VLOOKUP($A15,#REF!,25,FALSE),""),"")</f>
        <v/>
      </c>
      <c r="G15" s="8" t="str">
        <f>IF($A15&lt;&gt;"",IFERROR(VLOOKUP($A15,#REF!,21,FALSE),""),"")</f>
        <v/>
      </c>
      <c r="H15" s="39" t="str">
        <f>IF($A15&lt;&gt;"",IFERROR(VLOOKUP($A15,#REF!,26,FALSE),""),"")</f>
        <v/>
      </c>
      <c r="I15" s="5"/>
    </row>
    <row r="16" spans="1:10" x14ac:dyDescent="0.25">
      <c r="A16" s="1"/>
      <c r="B16" s="6"/>
      <c r="C16" s="11" t="str">
        <f>IF($A16&lt;&gt;"",IFERROR(VLOOKUP($A16,#REF!,14,FALSE),""),"")</f>
        <v/>
      </c>
      <c r="D16" s="11" t="str">
        <f>IF($A16&lt;&gt;"",IFERROR(VLOOKUP($A16,#REF!,20,FALSE),""),"")</f>
        <v/>
      </c>
      <c r="E16" s="11" t="str">
        <f>IF($A16&lt;&gt;"",IFERROR(VLOOKUP($A16,#REF!,24,FALSE),""),"")</f>
        <v/>
      </c>
      <c r="F16" s="11" t="str">
        <f>IF($A16&lt;&gt;"",IFERROR(VLOOKUP($A16,#REF!,25,FALSE),""),"")</f>
        <v/>
      </c>
      <c r="G16" s="8" t="str">
        <f>IF($A16&lt;&gt;"",IFERROR(VLOOKUP($A16,#REF!,21,FALSE),""),"")</f>
        <v/>
      </c>
      <c r="H16" s="39" t="str">
        <f>IF($A16&lt;&gt;"",IFERROR(VLOOKUP($A16,#REF!,26,FALSE),""),"")</f>
        <v/>
      </c>
      <c r="I16" s="5"/>
    </row>
    <row r="17" spans="1:9" x14ac:dyDescent="0.25">
      <c r="A17" s="1"/>
      <c r="B17" s="6"/>
      <c r="C17" s="11" t="str">
        <f>IF($A17&lt;&gt;"",IFERROR(VLOOKUP($A17,#REF!,14,FALSE),""),"")</f>
        <v/>
      </c>
      <c r="D17" s="11" t="str">
        <f>IF($A17&lt;&gt;"",IFERROR(VLOOKUP($A17,#REF!,20,FALSE),""),"")</f>
        <v/>
      </c>
      <c r="E17" s="11" t="str">
        <f>IF($A17&lt;&gt;"",IFERROR(VLOOKUP($A17,#REF!,24,FALSE),""),"")</f>
        <v/>
      </c>
      <c r="F17" s="11" t="str">
        <f>IF($A17&lt;&gt;"",IFERROR(VLOOKUP($A17,#REF!,25,FALSE),""),"")</f>
        <v/>
      </c>
      <c r="G17" s="8" t="str">
        <f>IF($A17&lt;&gt;"",IFERROR(VLOOKUP($A17,#REF!,21,FALSE),""),"")</f>
        <v/>
      </c>
      <c r="H17" s="39" t="str">
        <f>IF($A17&lt;&gt;"",IFERROR(VLOOKUP($A17,#REF!,26,FALSE),""),"")</f>
        <v/>
      </c>
      <c r="I17" s="5"/>
    </row>
    <row r="18" spans="1:9" x14ac:dyDescent="0.25">
      <c r="A18" s="1"/>
      <c r="B18" s="6"/>
      <c r="C18" s="11" t="str">
        <f>IF($A18&lt;&gt;"",IFERROR(VLOOKUP($A18,#REF!,14,FALSE),""),"")</f>
        <v/>
      </c>
      <c r="D18" s="11" t="str">
        <f>IF($A18&lt;&gt;"",IFERROR(VLOOKUP($A18,#REF!,20,FALSE),""),"")</f>
        <v/>
      </c>
      <c r="E18" s="11" t="str">
        <f>IF($A18&lt;&gt;"",IFERROR(VLOOKUP($A18,#REF!,24,FALSE),""),"")</f>
        <v/>
      </c>
      <c r="F18" s="11" t="str">
        <f>IF($A18&lt;&gt;"",IFERROR(VLOOKUP($A18,#REF!,25,FALSE),""),"")</f>
        <v/>
      </c>
      <c r="G18" s="8" t="str">
        <f>IF($A18&lt;&gt;"",IFERROR(VLOOKUP($A18,#REF!,21,FALSE),""),"")</f>
        <v/>
      </c>
      <c r="H18" s="39" t="str">
        <f>IF($A18&lt;&gt;"",IFERROR(VLOOKUP($A18,#REF!,26,FALSE),""),"")</f>
        <v/>
      </c>
      <c r="I18" s="5"/>
    </row>
    <row r="19" spans="1:9" x14ac:dyDescent="0.25">
      <c r="A19" s="1"/>
      <c r="B19" s="6"/>
      <c r="C19" s="11" t="str">
        <f>IF($A19&lt;&gt;"",IFERROR(VLOOKUP($A19,#REF!,14,FALSE),""),"")</f>
        <v/>
      </c>
      <c r="D19" s="11" t="str">
        <f>IF($A19&lt;&gt;"",IFERROR(VLOOKUP($A19,#REF!,20,FALSE),""),"")</f>
        <v/>
      </c>
      <c r="E19" s="11" t="str">
        <f>IF($A19&lt;&gt;"",IFERROR(VLOOKUP($A19,#REF!,24,FALSE),""),"")</f>
        <v/>
      </c>
      <c r="F19" s="11" t="str">
        <f>IF($A19&lt;&gt;"",IFERROR(VLOOKUP($A19,#REF!,25,FALSE),""),"")</f>
        <v/>
      </c>
      <c r="G19" s="8" t="str">
        <f>IF($A19&lt;&gt;"",IFERROR(VLOOKUP($A19,#REF!,21,FALSE),""),"")</f>
        <v/>
      </c>
      <c r="H19" s="39" t="str">
        <f>IF($A19&lt;&gt;"",IFERROR(VLOOKUP($A19,#REF!,26,FALSE),""),"")</f>
        <v/>
      </c>
      <c r="I19" s="5"/>
    </row>
    <row r="20" spans="1:9" x14ac:dyDescent="0.25">
      <c r="A20" s="1"/>
      <c r="B20" s="6"/>
      <c r="C20" s="11" t="str">
        <f>IF($A20&lt;&gt;"",IFERROR(VLOOKUP($A20,#REF!,14,FALSE),""),"")</f>
        <v/>
      </c>
      <c r="D20" s="11" t="str">
        <f>IF($A20&lt;&gt;"",IFERROR(VLOOKUP($A20,#REF!,20,FALSE),""),"")</f>
        <v/>
      </c>
      <c r="E20" s="11" t="str">
        <f>IF($A20&lt;&gt;"",IFERROR(VLOOKUP($A20,#REF!,24,FALSE),""),"")</f>
        <v/>
      </c>
      <c r="F20" s="11" t="str">
        <f>IF($A20&lt;&gt;"",IFERROR(VLOOKUP($A20,#REF!,25,FALSE),""),"")</f>
        <v/>
      </c>
      <c r="G20" s="8" t="str">
        <f>IF($A20&lt;&gt;"",IFERROR(VLOOKUP($A20,#REF!,21,FALSE),""),"")</f>
        <v/>
      </c>
      <c r="H20" s="39" t="str">
        <f>IF($A20&lt;&gt;"",IFERROR(VLOOKUP($A20,#REF!,26,FALSE),""),"")</f>
        <v/>
      </c>
      <c r="I20" s="5"/>
    </row>
    <row r="21" spans="1:9" x14ac:dyDescent="0.25">
      <c r="A21" s="1"/>
      <c r="B21" s="6"/>
      <c r="C21" s="11" t="str">
        <f>IF($A21&lt;&gt;"",IFERROR(VLOOKUP($A21,#REF!,14,FALSE),""),"")</f>
        <v/>
      </c>
      <c r="D21" s="11" t="str">
        <f>IF($A21&lt;&gt;"",IFERROR(VLOOKUP($A21,#REF!,20,FALSE),""),"")</f>
        <v/>
      </c>
      <c r="E21" s="11" t="str">
        <f>IF($A21&lt;&gt;"",IFERROR(VLOOKUP($A21,#REF!,24,FALSE),""),"")</f>
        <v/>
      </c>
      <c r="F21" s="11" t="str">
        <f>IF($A21&lt;&gt;"",IFERROR(VLOOKUP($A21,#REF!,25,FALSE),""),"")</f>
        <v/>
      </c>
      <c r="G21" s="8" t="str">
        <f>IF($A21&lt;&gt;"",IFERROR(VLOOKUP($A21,#REF!,21,FALSE),""),"")</f>
        <v/>
      </c>
      <c r="H21" s="39" t="str">
        <f>IF($A21&lt;&gt;"",IFERROR(VLOOKUP($A21,#REF!,26,FALSE),""),"")</f>
        <v/>
      </c>
      <c r="I21" s="5"/>
    </row>
    <row r="22" spans="1:9" x14ac:dyDescent="0.25">
      <c r="A22" s="1"/>
      <c r="B22" s="6"/>
      <c r="C22" s="11" t="str">
        <f>IF($A22&lt;&gt;"",IFERROR(VLOOKUP($A22,#REF!,14,FALSE),""),"")</f>
        <v/>
      </c>
      <c r="D22" s="11" t="str">
        <f>IF($A22&lt;&gt;"",IFERROR(VLOOKUP($A22,#REF!,20,FALSE),""),"")</f>
        <v/>
      </c>
      <c r="E22" s="11" t="str">
        <f>IF($A22&lt;&gt;"",IFERROR(VLOOKUP($A22,#REF!,24,FALSE),""),"")</f>
        <v/>
      </c>
      <c r="F22" s="11" t="str">
        <f>IF($A22&lt;&gt;"",IFERROR(VLOOKUP($A22,#REF!,25,FALSE),""),"")</f>
        <v/>
      </c>
      <c r="G22" s="8" t="str">
        <f>IF($A22&lt;&gt;"",IFERROR(VLOOKUP($A22,#REF!,21,FALSE),""),"")</f>
        <v/>
      </c>
      <c r="H22" s="39" t="str">
        <f>IF($A22&lt;&gt;"",IFERROR(VLOOKUP($A22,#REF!,26,FALSE),""),"")</f>
        <v/>
      </c>
      <c r="I22" s="5"/>
    </row>
  </sheetData>
  <sheetProtection algorithmName="SHA-512" hashValue="Rr3/y4rA7Wqi/V7fDxAA8TADJzeEnl7lAO7YA9AxUj3K99i861neYuFBc6wkak6+S3NC2mzFXXuHyWRJygDZsg==" saltValue="keyCXA2/dRh3m896SJClxg==" spinCount="100000" sheet="1" objects="1" scenarios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zoomScaleSheetLayoutView="80" workbookViewId="0">
      <selection activeCell="W10" sqref="W10"/>
    </sheetView>
  </sheetViews>
  <sheetFormatPr baseColWidth="10" defaultRowHeight="15" x14ac:dyDescent="0.25"/>
  <cols>
    <col min="1" max="1" width="14.28515625" style="2" customWidth="1"/>
    <col min="2" max="2" width="18.2851562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5" bestFit="1" customWidth="1"/>
    <col min="7" max="7" width="6" style="25" customWidth="1"/>
    <col min="8" max="8" width="15.7109375" style="12" customWidth="1"/>
    <col min="9" max="9" width="20" style="9" customWidth="1"/>
    <col min="10" max="11" width="5.5703125" style="2" customWidth="1"/>
    <col min="12" max="13" width="6" style="25" customWidth="1"/>
    <col min="14" max="14" width="20.140625" style="12" customWidth="1"/>
    <col min="15" max="15" width="19.85546875" style="9" bestFit="1" customWidth="1"/>
    <col min="16" max="17" width="5.5703125" style="2" customWidth="1"/>
    <col min="18" max="19" width="6" style="25" customWidth="1"/>
    <col min="20" max="20" width="13.57031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9.7109375" style="2" customWidth="1"/>
    <col min="25" max="25" width="9.5703125" style="2" customWidth="1"/>
    <col min="26" max="26" width="12.28515625" style="2" customWidth="1"/>
    <col min="27" max="27" width="12.5703125" style="2" customWidth="1"/>
    <col min="28" max="16384" width="11.42578125" style="2"/>
  </cols>
  <sheetData>
    <row r="1" spans="1:30" ht="34.5" customHeight="1" x14ac:dyDescent="0.25">
      <c r="A1" s="40"/>
      <c r="B1" s="40"/>
      <c r="C1" s="40"/>
      <c r="D1" s="41" t="s">
        <v>29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38</v>
      </c>
      <c r="V1" s="43"/>
      <c r="W1" s="43"/>
      <c r="X1" s="43"/>
    </row>
    <row r="2" spans="1:30" s="16" customFormat="1" ht="26.25" customHeight="1" x14ac:dyDescent="0.25">
      <c r="A2" s="29"/>
      <c r="B2" s="30"/>
      <c r="C2" s="31"/>
      <c r="D2" s="22"/>
      <c r="E2" s="32"/>
      <c r="F2" s="32" t="s">
        <v>30</v>
      </c>
      <c r="G2" s="33" t="s">
        <v>42</v>
      </c>
      <c r="H2" s="34"/>
      <c r="I2" s="35" t="s">
        <v>31</v>
      </c>
      <c r="J2" s="44" t="s">
        <v>41</v>
      </c>
      <c r="K2" s="44"/>
      <c r="L2" s="22"/>
      <c r="M2" s="22"/>
      <c r="N2" s="36" t="s">
        <v>32</v>
      </c>
      <c r="O2" s="37" t="s">
        <v>33</v>
      </c>
      <c r="R2" s="22"/>
      <c r="S2" s="22"/>
    </row>
    <row r="3" spans="1:30" ht="42" customHeight="1" x14ac:dyDescent="0.25">
      <c r="A3" s="3" t="s">
        <v>35</v>
      </c>
      <c r="B3" s="13" t="s">
        <v>34</v>
      </c>
      <c r="C3" s="7" t="s">
        <v>18</v>
      </c>
      <c r="D3" s="14" t="s">
        <v>21</v>
      </c>
      <c r="E3" s="14" t="s">
        <v>22</v>
      </c>
      <c r="F3" s="23" t="s">
        <v>14</v>
      </c>
      <c r="G3" s="23" t="s">
        <v>23</v>
      </c>
      <c r="H3" s="13" t="s">
        <v>15</v>
      </c>
      <c r="I3" s="7" t="s">
        <v>12</v>
      </c>
      <c r="J3" s="14" t="s">
        <v>21</v>
      </c>
      <c r="K3" s="14" t="s">
        <v>22</v>
      </c>
      <c r="L3" s="23" t="s">
        <v>14</v>
      </c>
      <c r="M3" s="23" t="s">
        <v>23</v>
      </c>
      <c r="N3" s="13" t="s">
        <v>16</v>
      </c>
      <c r="O3" s="7" t="s">
        <v>13</v>
      </c>
      <c r="P3" s="14" t="s">
        <v>21</v>
      </c>
      <c r="Q3" s="14" t="s">
        <v>22</v>
      </c>
      <c r="R3" s="23" t="s">
        <v>14</v>
      </c>
      <c r="S3" s="23" t="s">
        <v>23</v>
      </c>
      <c r="T3" s="13" t="s">
        <v>36</v>
      </c>
      <c r="U3" s="7" t="s">
        <v>37</v>
      </c>
      <c r="V3" s="14" t="s">
        <v>21</v>
      </c>
      <c r="W3" s="14" t="s">
        <v>22</v>
      </c>
      <c r="X3" s="23" t="s">
        <v>14</v>
      </c>
      <c r="Y3" s="23" t="s">
        <v>23</v>
      </c>
      <c r="Z3" s="19" t="s">
        <v>27</v>
      </c>
      <c r="AA3" s="14" t="s">
        <v>17</v>
      </c>
      <c r="AB3" s="18" t="s">
        <v>25</v>
      </c>
      <c r="AC3" s="18" t="s">
        <v>26</v>
      </c>
      <c r="AD3" s="17" t="s">
        <v>24</v>
      </c>
    </row>
    <row r="4" spans="1:30" x14ac:dyDescent="0.25">
      <c r="A4" s="5">
        <f>IF(Pesos_Blancos!A2&lt;&gt;"",Pesos_Blancos!A2,"")</f>
        <v>6548</v>
      </c>
      <c r="B4" s="21"/>
      <c r="C4" s="15"/>
      <c r="D4" s="1"/>
      <c r="E4" s="1"/>
      <c r="F4" s="24" t="str">
        <f>IF(AND(AB4&lt;&gt;"",D4&lt;&gt;""),(D4-AB4),"")</f>
        <v/>
      </c>
      <c r="G4" s="24" t="str">
        <f>IF(AND(AC4&lt;&gt;"",E4&lt;&gt;""),(E4-AC4),"")</f>
        <v/>
      </c>
      <c r="H4" s="21"/>
      <c r="I4" s="15"/>
      <c r="J4" s="1"/>
      <c r="K4" s="1"/>
      <c r="L4" s="24" t="str">
        <f>IF(AND(AB4&lt;&gt;"",J4&lt;&gt;""),(J4-AB4),"")</f>
        <v/>
      </c>
      <c r="M4" s="24" t="str">
        <f>IF(AND(AC4&lt;&gt;"",K4&lt;&gt;""),(K4-AC4),"")</f>
        <v/>
      </c>
      <c r="N4" s="21">
        <v>29.568000000000001</v>
      </c>
      <c r="O4" s="15">
        <v>44845.626319444447</v>
      </c>
      <c r="P4" s="1">
        <v>35.9</v>
      </c>
      <c r="Q4" s="1">
        <v>20.6</v>
      </c>
      <c r="R4" s="24">
        <f>IF(AND(AB4&lt;&gt;"",P4&lt;&gt;""),(P4-AB4),"")</f>
        <v>36.6</v>
      </c>
      <c r="S4" s="24">
        <f>IF(AND(AC4&lt;&gt;"",Q4&lt;&gt;""),(Q4-AC4),"")</f>
        <v>20.900000000000002</v>
      </c>
      <c r="T4" s="21">
        <v>29.567</v>
      </c>
      <c r="U4" s="15">
        <v>44845.684374999997</v>
      </c>
      <c r="V4" s="1">
        <v>40</v>
      </c>
      <c r="W4" s="1">
        <v>22.4</v>
      </c>
      <c r="X4" s="24">
        <f>IF(AND(AB4&lt;&gt;"",V4&lt;&gt;""),(V4-AB4),"")</f>
        <v>40.700000000000003</v>
      </c>
      <c r="Y4" s="24">
        <f>IF(AND(AC4&lt;&gt;"",W4&lt;&gt;""),(W4-AC4),"")</f>
        <v>22.7</v>
      </c>
      <c r="Z4" s="11">
        <f>IF(T4="","",IF(LEFT(Pesos_Blancos!A2,2)="QC",T4,IF(ABS((N4-T4))&lt;=0.01,(N4+T4)/2,"Error")))</f>
        <v>29.567500000000003</v>
      </c>
      <c r="AA4" s="11" t="str">
        <f>IF(A4="","",IF(LEFT(Pesos_Blancos!A2,2)="QC",T4,IF(OR(Pesos_Blancos!H2&gt;Z4,Z4="Error"),"Verifique",ABS(Pesos_Blancos!H2-Z4))))</f>
        <v>Verifique</v>
      </c>
      <c r="AB4" s="1">
        <v>-0.7</v>
      </c>
      <c r="AC4" s="1">
        <v>-0.3</v>
      </c>
      <c r="AD4" s="1" t="s">
        <v>40</v>
      </c>
    </row>
    <row r="5" spans="1:30" x14ac:dyDescent="0.25">
      <c r="A5" s="5">
        <f>IF(Pesos_Blancos!A3&lt;&gt;"",Pesos_Blancos!A3,"")</f>
        <v>6680</v>
      </c>
      <c r="B5" s="21"/>
      <c r="C5" s="15"/>
      <c r="D5" s="1"/>
      <c r="E5" s="1"/>
      <c r="F5" s="24" t="str">
        <f t="shared" ref="F5:F24" si="0">IF(AND(AB5&lt;&gt;"",D5&lt;&gt;""),(D5-AB5),"")</f>
        <v/>
      </c>
      <c r="G5" s="24" t="str">
        <f t="shared" ref="G5:G24" si="1">IF(AND(AC5&lt;&gt;"",E5&lt;&gt;""),(E5-AC5),"")</f>
        <v/>
      </c>
      <c r="H5" s="21"/>
      <c r="I5" s="15"/>
      <c r="J5" s="1"/>
      <c r="K5" s="1"/>
      <c r="L5" s="24" t="str">
        <f t="shared" ref="L5:L24" si="2">IF(AND(AB5&lt;&gt;"",J5&lt;&gt;""),(J5-AB5),"")</f>
        <v/>
      </c>
      <c r="M5" s="24" t="str">
        <f t="shared" ref="M5:M24" si="3">IF(AND(AC5&lt;&gt;"",K5&lt;&gt;""),(K5-AC5),"")</f>
        <v/>
      </c>
      <c r="N5" s="21">
        <v>27.065999999999999</v>
      </c>
      <c r="O5" s="15">
        <v>44845.627245370371</v>
      </c>
      <c r="P5" s="1">
        <v>35.9</v>
      </c>
      <c r="Q5" s="1">
        <v>20.6</v>
      </c>
      <c r="R5" s="24">
        <f t="shared" ref="R5:R24" si="4">IF(AND(AB5&lt;&gt;"",P5&lt;&gt;""),(P5-AB5),"")</f>
        <v>36.6</v>
      </c>
      <c r="S5" s="24">
        <f t="shared" ref="S5:S24" si="5">IF(AND(AC5&lt;&gt;"",Q5&lt;&gt;""),(Q5-AC5),"")</f>
        <v>20.900000000000002</v>
      </c>
      <c r="T5" s="21">
        <v>27.064</v>
      </c>
      <c r="U5" s="15">
        <v>44845.684884259259</v>
      </c>
      <c r="V5" s="1">
        <v>40</v>
      </c>
      <c r="W5" s="1">
        <v>22.4</v>
      </c>
      <c r="X5" s="24">
        <f t="shared" ref="X5:X24" si="6">IF(AND(AB5&lt;&gt;"",V5&lt;&gt;""),(V5-AB5),"")</f>
        <v>40.700000000000003</v>
      </c>
      <c r="Y5" s="24">
        <f t="shared" ref="Y5:Y24" si="7">IF(AND(AC5&lt;&gt;"",W5&lt;&gt;""),(W5-AC5),"")</f>
        <v>22.7</v>
      </c>
      <c r="Z5" s="11">
        <f>IF(T5="","",IF(LEFT(Pesos_Blancos!A3,2)="QC",T5,IF(ABS((N5-T5))&lt;=0.01,(N5+T5)/2,"Error")))</f>
        <v>27.064999999999998</v>
      </c>
      <c r="AA5" s="11" t="str">
        <f>IF(A5="","",IF(LEFT(Pesos_Blancos!A3,2)="QC",T5,IF(OR(Pesos_Blancos!H3&gt;Z5,Z5="Error"),"Verifique",ABS(Pesos_Blancos!H3-Z5))))</f>
        <v>Verifique</v>
      </c>
      <c r="AB5" s="1">
        <v>-0.7</v>
      </c>
      <c r="AC5" s="1">
        <v>-0.3</v>
      </c>
      <c r="AD5" s="1" t="s">
        <v>40</v>
      </c>
    </row>
    <row r="6" spans="1:30" x14ac:dyDescent="0.25">
      <c r="A6" s="5">
        <f>IF(Pesos_Blancos!A4&lt;&gt;"",Pesos_Blancos!A4,"")</f>
        <v>6681</v>
      </c>
      <c r="B6" s="21"/>
      <c r="C6" s="15"/>
      <c r="D6" s="1"/>
      <c r="E6" s="1"/>
      <c r="F6" s="24" t="str">
        <f t="shared" si="0"/>
        <v/>
      </c>
      <c r="G6" s="24" t="str">
        <f t="shared" si="1"/>
        <v/>
      </c>
      <c r="H6" s="21"/>
      <c r="I6" s="15"/>
      <c r="J6" s="1"/>
      <c r="K6" s="1"/>
      <c r="L6" s="24" t="str">
        <f t="shared" si="2"/>
        <v/>
      </c>
      <c r="M6" s="24" t="str">
        <f t="shared" si="3"/>
        <v/>
      </c>
      <c r="N6" s="21">
        <v>33.11</v>
      </c>
      <c r="O6" s="15">
        <v>44845.627604166664</v>
      </c>
      <c r="P6" s="1">
        <v>35.9</v>
      </c>
      <c r="Q6" s="1">
        <v>20.6</v>
      </c>
      <c r="R6" s="24">
        <f t="shared" si="4"/>
        <v>36.6</v>
      </c>
      <c r="S6" s="24">
        <f t="shared" si="5"/>
        <v>20.900000000000002</v>
      </c>
      <c r="T6" s="21">
        <v>33.1</v>
      </c>
      <c r="U6" s="15">
        <v>44845.68608796296</v>
      </c>
      <c r="V6" s="1">
        <v>40</v>
      </c>
      <c r="W6" s="1">
        <v>22.4</v>
      </c>
      <c r="X6" s="24">
        <f t="shared" si="6"/>
        <v>40.700000000000003</v>
      </c>
      <c r="Y6" s="24">
        <f t="shared" si="7"/>
        <v>22.7</v>
      </c>
      <c r="Z6" s="11">
        <f>IF(T6="","",IF(LEFT(Pesos_Blancos!A4,2)="QC",T6,IF(ABS((N6-T6))&lt;=0.01,(N6+T6)/2,"Error")))</f>
        <v>33.105000000000004</v>
      </c>
      <c r="AA6" s="11" t="str">
        <f>IF(A6="","",IF(LEFT(Pesos_Blancos!A4,2)="QC",T6,IF(OR(Pesos_Blancos!H4&gt;Z6,Z6="Error"),"Verifique",ABS(Pesos_Blancos!H4-Z6))))</f>
        <v>Verifique</v>
      </c>
      <c r="AB6" s="1">
        <v>-0.7</v>
      </c>
      <c r="AC6" s="1">
        <v>-0.3</v>
      </c>
      <c r="AD6" s="1" t="s">
        <v>40</v>
      </c>
    </row>
    <row r="7" spans="1:30" x14ac:dyDescent="0.25">
      <c r="A7" s="5">
        <f>IF(Pesos_Blancos!A5&lt;&gt;"",Pesos_Blancos!A5,"")</f>
        <v>6682</v>
      </c>
      <c r="B7" s="21"/>
      <c r="C7" s="15"/>
      <c r="D7" s="1"/>
      <c r="E7" s="1"/>
      <c r="F7" s="24" t="str">
        <f t="shared" si="0"/>
        <v/>
      </c>
      <c r="G7" s="24" t="str">
        <f t="shared" si="1"/>
        <v/>
      </c>
      <c r="H7" s="21"/>
      <c r="I7" s="15"/>
      <c r="J7" s="1"/>
      <c r="K7" s="1"/>
      <c r="L7" s="24" t="str">
        <f t="shared" si="2"/>
        <v/>
      </c>
      <c r="M7" s="24" t="str">
        <f t="shared" si="3"/>
        <v/>
      </c>
      <c r="N7" s="21">
        <v>32.277999999999999</v>
      </c>
      <c r="O7" s="15">
        <v>44845.627986111111</v>
      </c>
      <c r="P7" s="1">
        <v>35.9</v>
      </c>
      <c r="Q7" s="1">
        <v>20.6</v>
      </c>
      <c r="R7" s="24">
        <f t="shared" si="4"/>
        <v>36.6</v>
      </c>
      <c r="S7" s="24">
        <f t="shared" si="5"/>
        <v>20.900000000000002</v>
      </c>
      <c r="T7" s="21">
        <v>32.270000000000003</v>
      </c>
      <c r="U7" s="15">
        <v>44845.686736111114</v>
      </c>
      <c r="V7" s="1">
        <v>40</v>
      </c>
      <c r="W7" s="1">
        <v>22.4</v>
      </c>
      <c r="X7" s="24">
        <f t="shared" si="6"/>
        <v>40.700000000000003</v>
      </c>
      <c r="Y7" s="24">
        <f t="shared" si="7"/>
        <v>22.7</v>
      </c>
      <c r="Z7" s="11">
        <f>IF(T7="","",IF(LEFT(Pesos_Blancos!A5,2)="QC",T7,IF(ABS((N7-T7))&lt;=0.01,(N7+T7)/2,"Error")))</f>
        <v>32.274000000000001</v>
      </c>
      <c r="AA7" s="11" t="str">
        <f>IF(A7="","",IF(LEFT(Pesos_Blancos!A5,2)="QC",T7,IF(OR(Pesos_Blancos!H5&gt;Z7,Z7="Error"),"Verifique",ABS(Pesos_Blancos!H5-Z7))))</f>
        <v>Verifique</v>
      </c>
      <c r="AB7" s="1">
        <v>-0.7</v>
      </c>
      <c r="AC7" s="1">
        <v>-0.3</v>
      </c>
      <c r="AD7" s="1" t="s">
        <v>40</v>
      </c>
    </row>
    <row r="8" spans="1:30" x14ac:dyDescent="0.25">
      <c r="A8" s="5">
        <f>IF(Pesos_Blancos!A6&lt;&gt;"",Pesos_Blancos!A6,"")</f>
        <v>6683</v>
      </c>
      <c r="B8" s="21"/>
      <c r="C8" s="15"/>
      <c r="D8" s="1"/>
      <c r="E8" s="1"/>
      <c r="F8" s="24" t="str">
        <f t="shared" si="0"/>
        <v/>
      </c>
      <c r="G8" s="24" t="str">
        <f t="shared" si="1"/>
        <v/>
      </c>
      <c r="H8" s="21"/>
      <c r="I8" s="15"/>
      <c r="J8" s="1"/>
      <c r="K8" s="1"/>
      <c r="L8" s="24" t="str">
        <f t="shared" si="2"/>
        <v/>
      </c>
      <c r="M8" s="24" t="str">
        <f t="shared" si="3"/>
        <v/>
      </c>
      <c r="N8" s="21">
        <v>27.42</v>
      </c>
      <c r="O8" s="15">
        <v>44845.628587962965</v>
      </c>
      <c r="P8" s="1">
        <v>35.9</v>
      </c>
      <c r="Q8" s="1">
        <v>20.6</v>
      </c>
      <c r="R8" s="24">
        <f t="shared" si="4"/>
        <v>36.6</v>
      </c>
      <c r="S8" s="24">
        <f t="shared" si="5"/>
        <v>20.900000000000002</v>
      </c>
      <c r="T8" s="21">
        <v>27.416</v>
      </c>
      <c r="U8" s="15">
        <v>44845.687164351853</v>
      </c>
      <c r="V8" s="1">
        <v>40</v>
      </c>
      <c r="W8" s="1">
        <v>22.4</v>
      </c>
      <c r="X8" s="24">
        <f t="shared" si="6"/>
        <v>40.700000000000003</v>
      </c>
      <c r="Y8" s="24">
        <f t="shared" si="7"/>
        <v>22.7</v>
      </c>
      <c r="Z8" s="11">
        <f>IF(T8="","",IF(LEFT(Pesos_Blancos!A6,2)="QC",T8,IF(ABS((N8-T8))&lt;=0.01,(N8+T8)/2,"Error")))</f>
        <v>27.417999999999999</v>
      </c>
      <c r="AA8" s="11" t="str">
        <f>IF(A8="","",IF(LEFT(Pesos_Blancos!A6,2)="QC",T8,IF(OR(Pesos_Blancos!H6&gt;Z8,Z8="Error"),"Verifique",ABS(Pesos_Blancos!H6-Z8))))</f>
        <v>Verifique</v>
      </c>
      <c r="AB8" s="1">
        <v>-0.7</v>
      </c>
      <c r="AC8" s="1">
        <v>-0.3</v>
      </c>
      <c r="AD8" s="1" t="s">
        <v>40</v>
      </c>
    </row>
    <row r="9" spans="1:30" x14ac:dyDescent="0.25">
      <c r="A9" s="5">
        <f>IF(Pesos_Blancos!A7&lt;&gt;"",Pesos_Blancos!A7,"")</f>
        <v>6710</v>
      </c>
      <c r="B9" s="21"/>
      <c r="C9" s="15"/>
      <c r="D9" s="1"/>
      <c r="E9" s="1"/>
      <c r="F9" s="24" t="str">
        <f t="shared" si="0"/>
        <v/>
      </c>
      <c r="G9" s="24" t="str">
        <f t="shared" si="1"/>
        <v/>
      </c>
      <c r="H9" s="21"/>
      <c r="I9" s="15"/>
      <c r="J9" s="1"/>
      <c r="K9" s="1"/>
      <c r="L9" s="24" t="str">
        <f t="shared" si="2"/>
        <v/>
      </c>
      <c r="M9" s="24" t="str">
        <f t="shared" si="3"/>
        <v/>
      </c>
      <c r="N9" s="21">
        <v>24.324000000000002</v>
      </c>
      <c r="O9" s="15">
        <v>44845.62903935185</v>
      </c>
      <c r="P9" s="1">
        <v>35.9</v>
      </c>
      <c r="Q9" s="1">
        <v>20.6</v>
      </c>
      <c r="R9" s="24">
        <f t="shared" si="4"/>
        <v>36.6</v>
      </c>
      <c r="S9" s="24">
        <f t="shared" si="5"/>
        <v>20.900000000000002</v>
      </c>
      <c r="T9" s="21">
        <v>24.324999999999999</v>
      </c>
      <c r="U9" s="15">
        <v>44845.6875462963</v>
      </c>
      <c r="V9" s="1">
        <v>40</v>
      </c>
      <c r="W9" s="1">
        <v>22.4</v>
      </c>
      <c r="X9" s="24">
        <f t="shared" si="6"/>
        <v>40.700000000000003</v>
      </c>
      <c r="Y9" s="24">
        <f t="shared" si="7"/>
        <v>22.7</v>
      </c>
      <c r="Z9" s="11">
        <f>IF(T9="","",IF(LEFT(Pesos_Blancos!A7,2)="QC",T9,IF(ABS((N9-T9))&lt;=0.01,(N9+T9)/2,"Error")))</f>
        <v>24.3245</v>
      </c>
      <c r="AA9" s="11" t="str">
        <f>IF(A9="","",IF(LEFT(Pesos_Blancos!A7,2)="QC",T9,IF(OR(Pesos_Blancos!H7&gt;Z9,Z9="Error"),"Verifique",ABS(Pesos_Blancos!H7-Z9))))</f>
        <v>Verifique</v>
      </c>
      <c r="AB9" s="1">
        <v>-0.7</v>
      </c>
      <c r="AC9" s="1">
        <v>-0.3</v>
      </c>
      <c r="AD9" s="1" t="s">
        <v>40</v>
      </c>
    </row>
    <row r="10" spans="1:30" x14ac:dyDescent="0.25">
      <c r="A10" s="5">
        <f>IF(Pesos_Blancos!A8&lt;&gt;"",Pesos_Blancos!A8,"")</f>
        <v>6738</v>
      </c>
      <c r="B10" s="21"/>
      <c r="C10" s="15"/>
      <c r="D10" s="1"/>
      <c r="E10" s="1"/>
      <c r="F10" s="24" t="str">
        <f t="shared" si="0"/>
        <v/>
      </c>
      <c r="G10" s="24" t="str">
        <f t="shared" si="1"/>
        <v/>
      </c>
      <c r="H10" s="21"/>
      <c r="I10" s="15"/>
      <c r="J10" s="1"/>
      <c r="K10" s="1"/>
      <c r="L10" s="24" t="str">
        <f t="shared" si="2"/>
        <v/>
      </c>
      <c r="M10" s="24" t="str">
        <f t="shared" si="3"/>
        <v/>
      </c>
      <c r="N10" s="21">
        <v>34.396000000000001</v>
      </c>
      <c r="O10" s="15">
        <v>44845.629467592589</v>
      </c>
      <c r="P10" s="1">
        <v>35.9</v>
      </c>
      <c r="Q10" s="1">
        <v>20.6</v>
      </c>
      <c r="R10" s="24">
        <f t="shared" si="4"/>
        <v>36.6</v>
      </c>
      <c r="S10" s="24">
        <f t="shared" si="5"/>
        <v>20.900000000000002</v>
      </c>
      <c r="T10" s="21">
        <v>34.395000000000003</v>
      </c>
      <c r="U10" s="15">
        <v>44845.687997685185</v>
      </c>
      <c r="V10" s="1">
        <v>40</v>
      </c>
      <c r="W10" s="1">
        <v>22.4</v>
      </c>
      <c r="X10" s="24">
        <f t="shared" si="6"/>
        <v>40.700000000000003</v>
      </c>
      <c r="Y10" s="24">
        <f t="shared" si="7"/>
        <v>22.7</v>
      </c>
      <c r="Z10" s="11">
        <f>IF(T10="","",IF(LEFT(Pesos_Blancos!A8,2)="QC",T10,IF(ABS((N10-T10))&lt;=0.01,(N10+T10)/2,"Error")))</f>
        <v>34.395499999999998</v>
      </c>
      <c r="AA10" s="11" t="str">
        <f>IF(A10="","",IF(LEFT(Pesos_Blancos!A8,2)="QC",T10,IF(OR(Pesos_Blancos!H8&gt;Z10,Z10="Error"),"Verifique",ABS(Pesos_Blancos!H8-Z10))))</f>
        <v>Verifique</v>
      </c>
      <c r="AB10" s="1">
        <v>-0.7</v>
      </c>
      <c r="AC10" s="1">
        <v>-0.3</v>
      </c>
      <c r="AD10" s="1" t="s">
        <v>40</v>
      </c>
    </row>
    <row r="11" spans="1:30" x14ac:dyDescent="0.25">
      <c r="A11" s="5" t="str">
        <f>IF(Pesos_Blancos!A9&lt;&gt;"",Pesos_Blancos!A9,"")</f>
        <v>QC</v>
      </c>
      <c r="B11" s="21"/>
      <c r="C11" s="15"/>
      <c r="D11" s="1"/>
      <c r="E11" s="1"/>
      <c r="F11" s="24" t="str">
        <f t="shared" si="0"/>
        <v/>
      </c>
      <c r="G11" s="24" t="str">
        <f t="shared" si="1"/>
        <v/>
      </c>
      <c r="H11" s="21"/>
      <c r="I11" s="15"/>
      <c r="J11" s="1"/>
      <c r="K11" s="1"/>
      <c r="L11" s="24" t="str">
        <f t="shared" si="2"/>
        <v/>
      </c>
      <c r="M11" s="24" t="str">
        <f t="shared" si="3"/>
        <v/>
      </c>
      <c r="N11" s="21">
        <v>9.9930000000000003</v>
      </c>
      <c r="O11" s="15">
        <v>44845.629988425928</v>
      </c>
      <c r="P11" s="1">
        <v>36.700000000000003</v>
      </c>
      <c r="Q11" s="1">
        <v>21</v>
      </c>
      <c r="R11" s="24">
        <f t="shared" si="4"/>
        <v>37.400000000000006</v>
      </c>
      <c r="S11" s="24">
        <f t="shared" si="5"/>
        <v>21.3</v>
      </c>
      <c r="T11" s="21">
        <v>9.9930000000000003</v>
      </c>
      <c r="U11" s="15">
        <v>44845.688321759262</v>
      </c>
      <c r="V11" s="1">
        <v>41.1</v>
      </c>
      <c r="W11" s="1">
        <v>22.5</v>
      </c>
      <c r="X11" s="24">
        <f t="shared" si="6"/>
        <v>41.800000000000004</v>
      </c>
      <c r="Y11" s="24">
        <f t="shared" si="7"/>
        <v>22.8</v>
      </c>
      <c r="Z11" s="11">
        <f>IF(T11="","",IF(LEFT(Pesos_Blancos!A9,2)="QC",T11,IF(ABS((N11-T11))&lt;=0.01,(N11+T11)/2,"Error")))</f>
        <v>9.9930000000000003</v>
      </c>
      <c r="AA11" s="11">
        <f>IF(A11="","",IF(LEFT(Pesos_Blancos!A9,2)="QC",T11,IF(OR(Pesos_Blancos!H9&gt;Z11,Z11="Error"),"Verifique",ABS(Pesos_Blancos!H9-Z11))))</f>
        <v>9.9930000000000003</v>
      </c>
      <c r="AB11" s="1">
        <v>-0.7</v>
      </c>
      <c r="AC11" s="1">
        <v>-0.3</v>
      </c>
      <c r="AD11" s="1" t="s">
        <v>40</v>
      </c>
    </row>
    <row r="12" spans="1:30" x14ac:dyDescent="0.25">
      <c r="A12" s="5" t="str">
        <f>IF(Pesos_Blancos!A10&lt;&gt;"",Pesos_Blancos!A10,"")</f>
        <v/>
      </c>
      <c r="B12" s="21"/>
      <c r="C12" s="15"/>
      <c r="D12" s="1"/>
      <c r="E12" s="1"/>
      <c r="F12" s="24" t="str">
        <f t="shared" si="0"/>
        <v/>
      </c>
      <c r="G12" s="24" t="str">
        <f t="shared" si="1"/>
        <v/>
      </c>
      <c r="H12" s="21"/>
      <c r="I12" s="15"/>
      <c r="J12" s="1"/>
      <c r="K12" s="1"/>
      <c r="L12" s="24" t="str">
        <f t="shared" si="2"/>
        <v/>
      </c>
      <c r="M12" s="24" t="str">
        <f t="shared" si="3"/>
        <v/>
      </c>
      <c r="N12" s="21"/>
      <c r="O12" s="15"/>
      <c r="P12" s="1"/>
      <c r="Q12" s="1"/>
      <c r="R12" s="24" t="str">
        <f t="shared" si="4"/>
        <v/>
      </c>
      <c r="S12" s="24" t="str">
        <f t="shared" si="5"/>
        <v/>
      </c>
      <c r="T12" s="21"/>
      <c r="U12" s="15"/>
      <c r="V12" s="1"/>
      <c r="W12" s="1"/>
      <c r="X12" s="24" t="str">
        <f t="shared" si="6"/>
        <v/>
      </c>
      <c r="Y12" s="24" t="str">
        <f t="shared" si="7"/>
        <v/>
      </c>
      <c r="Z12" s="11" t="str">
        <f>IF(T12="","",IF(LEFT(Pesos_Blancos!A10,2)="QC",T12,IF(ABS((N12-T12))&lt;=0.01,(N12+T12)/2,"Error")))</f>
        <v/>
      </c>
      <c r="AA12" s="11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1"/>
      <c r="C13" s="15"/>
      <c r="D13" s="1"/>
      <c r="E13" s="1"/>
      <c r="F13" s="24" t="str">
        <f t="shared" si="0"/>
        <v/>
      </c>
      <c r="G13" s="24" t="str">
        <f t="shared" si="1"/>
        <v/>
      </c>
      <c r="H13" s="21"/>
      <c r="I13" s="15"/>
      <c r="J13" s="1"/>
      <c r="K13" s="1"/>
      <c r="L13" s="24" t="str">
        <f t="shared" si="2"/>
        <v/>
      </c>
      <c r="M13" s="24" t="str">
        <f t="shared" si="3"/>
        <v/>
      </c>
      <c r="N13" s="21"/>
      <c r="O13" s="15"/>
      <c r="P13" s="1"/>
      <c r="Q13" s="1"/>
      <c r="R13" s="24" t="str">
        <f t="shared" si="4"/>
        <v/>
      </c>
      <c r="S13" s="24" t="str">
        <f t="shared" si="5"/>
        <v/>
      </c>
      <c r="T13" s="21"/>
      <c r="U13" s="15"/>
      <c r="V13" s="1"/>
      <c r="W13" s="1"/>
      <c r="X13" s="24" t="str">
        <f t="shared" si="6"/>
        <v/>
      </c>
      <c r="Y13" s="24" t="str">
        <f t="shared" si="7"/>
        <v/>
      </c>
      <c r="Z13" s="11" t="str">
        <f>IF(T13="","",IF(LEFT(Pesos_Blancos!A11,2)="QC",T13,IF(ABS((N13-T13))&lt;=0.01,(N13+T13)/2,"Error")))</f>
        <v/>
      </c>
      <c r="AA13" s="11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1"/>
      <c r="C14" s="15"/>
      <c r="D14" s="1"/>
      <c r="E14" s="1"/>
      <c r="F14" s="24" t="str">
        <f t="shared" si="0"/>
        <v/>
      </c>
      <c r="G14" s="24" t="str">
        <f t="shared" si="1"/>
        <v/>
      </c>
      <c r="H14" s="21"/>
      <c r="I14" s="15"/>
      <c r="J14" s="1"/>
      <c r="K14" s="1"/>
      <c r="L14" s="24" t="str">
        <f t="shared" si="2"/>
        <v/>
      </c>
      <c r="M14" s="24" t="str">
        <f t="shared" si="3"/>
        <v/>
      </c>
      <c r="N14" s="21"/>
      <c r="O14" s="15"/>
      <c r="P14" s="1"/>
      <c r="Q14" s="1"/>
      <c r="R14" s="24" t="str">
        <f t="shared" si="4"/>
        <v/>
      </c>
      <c r="S14" s="24" t="str">
        <f t="shared" si="5"/>
        <v/>
      </c>
      <c r="T14" s="21"/>
      <c r="U14" s="15"/>
      <c r="V14" s="1"/>
      <c r="W14" s="1"/>
      <c r="X14" s="24" t="str">
        <f t="shared" si="6"/>
        <v/>
      </c>
      <c r="Y14" s="24" t="str">
        <f t="shared" si="7"/>
        <v/>
      </c>
      <c r="Z14" s="11" t="str">
        <f>IF(T14="","",IF(LEFT(Pesos_Blancos!A12,2)="QC",T14,IF(ABS((N14-T14))&lt;=0.01,(N14+T14)/2,"Error")))</f>
        <v/>
      </c>
      <c r="AA14" s="11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1"/>
      <c r="C15" s="15"/>
      <c r="D15" s="1"/>
      <c r="E15" s="1"/>
      <c r="F15" s="24" t="str">
        <f t="shared" si="0"/>
        <v/>
      </c>
      <c r="G15" s="24" t="str">
        <f t="shared" si="1"/>
        <v/>
      </c>
      <c r="H15" s="21"/>
      <c r="I15" s="15"/>
      <c r="J15" s="1"/>
      <c r="K15" s="1"/>
      <c r="L15" s="24" t="str">
        <f t="shared" si="2"/>
        <v/>
      </c>
      <c r="M15" s="24" t="str">
        <f t="shared" si="3"/>
        <v/>
      </c>
      <c r="N15" s="21"/>
      <c r="O15" s="15"/>
      <c r="P15" s="1"/>
      <c r="Q15" s="1"/>
      <c r="R15" s="24" t="str">
        <f t="shared" si="4"/>
        <v/>
      </c>
      <c r="S15" s="24" t="str">
        <f t="shared" si="5"/>
        <v/>
      </c>
      <c r="T15" s="21"/>
      <c r="U15" s="15"/>
      <c r="V15" s="1"/>
      <c r="W15" s="1"/>
      <c r="X15" s="24" t="str">
        <f t="shared" si="6"/>
        <v/>
      </c>
      <c r="Y15" s="24" t="str">
        <f t="shared" si="7"/>
        <v/>
      </c>
      <c r="Z15" s="11" t="str">
        <f>IF(T15="","",IF(LEFT(Pesos_Blancos!A13,2)="QC",T15,IF(ABS((N15-T15))&lt;=0.01,(N15+T15)/2,"Error")))</f>
        <v/>
      </c>
      <c r="AA15" s="11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1"/>
      <c r="C16" s="15"/>
      <c r="D16" s="1"/>
      <c r="E16" s="1"/>
      <c r="F16" s="24" t="str">
        <f t="shared" si="0"/>
        <v/>
      </c>
      <c r="G16" s="24" t="str">
        <f t="shared" si="1"/>
        <v/>
      </c>
      <c r="H16" s="21"/>
      <c r="I16" s="15"/>
      <c r="J16" s="1"/>
      <c r="K16" s="1"/>
      <c r="L16" s="24" t="str">
        <f t="shared" si="2"/>
        <v/>
      </c>
      <c r="M16" s="24" t="str">
        <f t="shared" si="3"/>
        <v/>
      </c>
      <c r="N16" s="21"/>
      <c r="O16" s="15"/>
      <c r="P16" s="1"/>
      <c r="Q16" s="1"/>
      <c r="R16" s="24" t="str">
        <f t="shared" si="4"/>
        <v/>
      </c>
      <c r="S16" s="24" t="str">
        <f t="shared" si="5"/>
        <v/>
      </c>
      <c r="T16" s="21"/>
      <c r="U16" s="15"/>
      <c r="V16" s="1"/>
      <c r="W16" s="1"/>
      <c r="X16" s="24" t="str">
        <f t="shared" si="6"/>
        <v/>
      </c>
      <c r="Y16" s="24" t="str">
        <f t="shared" si="7"/>
        <v/>
      </c>
      <c r="Z16" s="11" t="str">
        <f>IF(T16="","",IF(LEFT(Pesos_Blancos!A14,2)="QC",T16,IF(ABS((N16-T16))&lt;=0.01,(N16+T16)/2,"Error")))</f>
        <v/>
      </c>
      <c r="AA16" s="11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1"/>
      <c r="C17" s="15"/>
      <c r="D17" s="1"/>
      <c r="E17" s="1"/>
      <c r="F17" s="24" t="str">
        <f t="shared" si="0"/>
        <v/>
      </c>
      <c r="G17" s="24" t="str">
        <f t="shared" si="1"/>
        <v/>
      </c>
      <c r="H17" s="21"/>
      <c r="I17" s="15"/>
      <c r="J17" s="1"/>
      <c r="K17" s="1"/>
      <c r="L17" s="24" t="str">
        <f t="shared" si="2"/>
        <v/>
      </c>
      <c r="M17" s="24" t="str">
        <f t="shared" si="3"/>
        <v/>
      </c>
      <c r="N17" s="21"/>
      <c r="O17" s="15"/>
      <c r="P17" s="1"/>
      <c r="Q17" s="1"/>
      <c r="R17" s="24" t="str">
        <f t="shared" si="4"/>
        <v/>
      </c>
      <c r="S17" s="24" t="str">
        <f t="shared" si="5"/>
        <v/>
      </c>
      <c r="T17" s="21"/>
      <c r="U17" s="15"/>
      <c r="V17" s="1"/>
      <c r="W17" s="1"/>
      <c r="X17" s="24" t="str">
        <f t="shared" si="6"/>
        <v/>
      </c>
      <c r="Y17" s="24" t="str">
        <f t="shared" si="7"/>
        <v/>
      </c>
      <c r="Z17" s="11" t="str">
        <f>IF(T17="","",IF(LEFT(Pesos_Blancos!A15,2)="QC",T17,IF(ABS((N17-T17))&lt;=0.01,(N17+T17)/2,"Error")))</f>
        <v/>
      </c>
      <c r="AA17" s="11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1"/>
      <c r="C18" s="15"/>
      <c r="D18" s="1"/>
      <c r="E18" s="1"/>
      <c r="F18" s="24" t="str">
        <f t="shared" si="0"/>
        <v/>
      </c>
      <c r="G18" s="24" t="str">
        <f t="shared" si="1"/>
        <v/>
      </c>
      <c r="H18" s="21"/>
      <c r="I18" s="15"/>
      <c r="J18" s="1"/>
      <c r="K18" s="1"/>
      <c r="L18" s="24" t="str">
        <f t="shared" si="2"/>
        <v/>
      </c>
      <c r="M18" s="24" t="str">
        <f t="shared" si="3"/>
        <v/>
      </c>
      <c r="N18" s="21"/>
      <c r="O18" s="15"/>
      <c r="P18" s="1"/>
      <c r="Q18" s="1"/>
      <c r="R18" s="24" t="str">
        <f t="shared" si="4"/>
        <v/>
      </c>
      <c r="S18" s="24" t="str">
        <f t="shared" si="5"/>
        <v/>
      </c>
      <c r="T18" s="21"/>
      <c r="U18" s="15"/>
      <c r="V18" s="1"/>
      <c r="W18" s="1"/>
      <c r="X18" s="24" t="str">
        <f t="shared" si="6"/>
        <v/>
      </c>
      <c r="Y18" s="24" t="str">
        <f t="shared" si="7"/>
        <v/>
      </c>
      <c r="Z18" s="11" t="str">
        <f>IF(T18="","",IF(LEFT(Pesos_Blancos!A16,2)="QC",T18,IF(ABS((N18-T18))&lt;=0.01,(N18+T18)/2,"Error")))</f>
        <v/>
      </c>
      <c r="AA18" s="11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1"/>
      <c r="C19" s="15"/>
      <c r="D19" s="1"/>
      <c r="E19" s="1"/>
      <c r="F19" s="24" t="str">
        <f t="shared" si="0"/>
        <v/>
      </c>
      <c r="G19" s="24" t="str">
        <f t="shared" si="1"/>
        <v/>
      </c>
      <c r="H19" s="21"/>
      <c r="I19" s="15"/>
      <c r="J19" s="1"/>
      <c r="K19" s="1"/>
      <c r="L19" s="24" t="str">
        <f t="shared" si="2"/>
        <v/>
      </c>
      <c r="M19" s="24" t="str">
        <f t="shared" si="3"/>
        <v/>
      </c>
      <c r="N19" s="21"/>
      <c r="O19" s="15"/>
      <c r="P19" s="1"/>
      <c r="Q19" s="1"/>
      <c r="R19" s="24" t="str">
        <f t="shared" si="4"/>
        <v/>
      </c>
      <c r="S19" s="24" t="str">
        <f t="shared" si="5"/>
        <v/>
      </c>
      <c r="T19" s="21"/>
      <c r="U19" s="15"/>
      <c r="V19" s="1"/>
      <c r="W19" s="1"/>
      <c r="X19" s="24" t="str">
        <f t="shared" si="6"/>
        <v/>
      </c>
      <c r="Y19" s="24" t="str">
        <f t="shared" si="7"/>
        <v/>
      </c>
      <c r="Z19" s="11" t="str">
        <f>IF(T19="","",IF(LEFT(Pesos_Blancos!A17,2)="QC",T19,IF(ABS((N19-T19))&lt;=0.01,(N19+T19)/2,"Error")))</f>
        <v/>
      </c>
      <c r="AA19" s="11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1"/>
      <c r="C20" s="15"/>
      <c r="D20" s="1"/>
      <c r="E20" s="1"/>
      <c r="F20" s="24" t="str">
        <f t="shared" si="0"/>
        <v/>
      </c>
      <c r="G20" s="24" t="str">
        <f t="shared" si="1"/>
        <v/>
      </c>
      <c r="H20" s="21"/>
      <c r="I20" s="15"/>
      <c r="J20" s="1"/>
      <c r="K20" s="1"/>
      <c r="L20" s="24" t="str">
        <f t="shared" si="2"/>
        <v/>
      </c>
      <c r="M20" s="24" t="str">
        <f t="shared" si="3"/>
        <v/>
      </c>
      <c r="N20" s="21"/>
      <c r="O20" s="15"/>
      <c r="P20" s="1"/>
      <c r="Q20" s="1"/>
      <c r="R20" s="24" t="str">
        <f t="shared" si="4"/>
        <v/>
      </c>
      <c r="S20" s="24" t="str">
        <f t="shared" si="5"/>
        <v/>
      </c>
      <c r="T20" s="21"/>
      <c r="U20" s="15"/>
      <c r="V20" s="1"/>
      <c r="W20" s="1"/>
      <c r="X20" s="24" t="str">
        <f t="shared" si="6"/>
        <v/>
      </c>
      <c r="Y20" s="24" t="str">
        <f t="shared" si="7"/>
        <v/>
      </c>
      <c r="Z20" s="11" t="str">
        <f>IF(T20="","",IF(LEFT(Pesos_Blancos!A18,2)="QC",T20,IF(ABS((N20-T20))&lt;=0.01,(N20+T20)/2,"Error")))</f>
        <v/>
      </c>
      <c r="AA20" s="11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1"/>
      <c r="C21" s="15"/>
      <c r="D21" s="1"/>
      <c r="E21" s="1"/>
      <c r="F21" s="24" t="str">
        <f t="shared" si="0"/>
        <v/>
      </c>
      <c r="G21" s="24" t="str">
        <f t="shared" si="1"/>
        <v/>
      </c>
      <c r="H21" s="21"/>
      <c r="I21" s="15"/>
      <c r="J21" s="1"/>
      <c r="K21" s="1"/>
      <c r="L21" s="24" t="str">
        <f t="shared" si="2"/>
        <v/>
      </c>
      <c r="M21" s="24" t="str">
        <f t="shared" si="3"/>
        <v/>
      </c>
      <c r="N21" s="21"/>
      <c r="O21" s="15"/>
      <c r="P21" s="1"/>
      <c r="Q21" s="1"/>
      <c r="R21" s="24" t="str">
        <f t="shared" si="4"/>
        <v/>
      </c>
      <c r="S21" s="24" t="str">
        <f t="shared" si="5"/>
        <v/>
      </c>
      <c r="T21" s="21"/>
      <c r="U21" s="15"/>
      <c r="V21" s="1"/>
      <c r="W21" s="1"/>
      <c r="X21" s="24" t="str">
        <f t="shared" si="6"/>
        <v/>
      </c>
      <c r="Y21" s="24" t="str">
        <f t="shared" si="7"/>
        <v/>
      </c>
      <c r="Z21" s="11" t="str">
        <f>IF(T21="","",IF(LEFT(Pesos_Blancos!A19,2)="QC",T21,IF(ABS((N21-T21))&lt;=0.01,(N21+T21)/2,"Error")))</f>
        <v/>
      </c>
      <c r="AA21" s="11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1"/>
      <c r="C22" s="15"/>
      <c r="D22" s="1"/>
      <c r="E22" s="1"/>
      <c r="F22" s="24" t="str">
        <f t="shared" si="0"/>
        <v/>
      </c>
      <c r="G22" s="24" t="str">
        <f t="shared" si="1"/>
        <v/>
      </c>
      <c r="H22" s="21"/>
      <c r="I22" s="15"/>
      <c r="J22" s="1"/>
      <c r="K22" s="1"/>
      <c r="L22" s="24" t="str">
        <f t="shared" si="2"/>
        <v/>
      </c>
      <c r="M22" s="24" t="str">
        <f t="shared" si="3"/>
        <v/>
      </c>
      <c r="N22" s="21"/>
      <c r="O22" s="15"/>
      <c r="P22" s="1"/>
      <c r="Q22" s="1"/>
      <c r="R22" s="24" t="str">
        <f t="shared" si="4"/>
        <v/>
      </c>
      <c r="S22" s="24" t="str">
        <f t="shared" si="5"/>
        <v/>
      </c>
      <c r="T22" s="21"/>
      <c r="U22" s="15"/>
      <c r="V22" s="1"/>
      <c r="W22" s="1"/>
      <c r="X22" s="24" t="str">
        <f t="shared" si="6"/>
        <v/>
      </c>
      <c r="Y22" s="24" t="str">
        <f t="shared" si="7"/>
        <v/>
      </c>
      <c r="Z22" s="11" t="str">
        <f>IF(T22="","",IF(LEFT(Pesos_Blancos!A20,2)="QC",T22,IF(ABS((N22-T22))&lt;=0.01,(N22+T22)/2,"Error")))</f>
        <v/>
      </c>
      <c r="AA22" s="11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1"/>
      <c r="C23" s="15"/>
      <c r="D23" s="1"/>
      <c r="E23" s="1"/>
      <c r="F23" s="24" t="str">
        <f t="shared" si="0"/>
        <v/>
      </c>
      <c r="G23" s="24" t="str">
        <f t="shared" si="1"/>
        <v/>
      </c>
      <c r="H23" s="21"/>
      <c r="I23" s="15"/>
      <c r="J23" s="1"/>
      <c r="K23" s="1"/>
      <c r="L23" s="24" t="str">
        <f t="shared" si="2"/>
        <v/>
      </c>
      <c r="M23" s="24" t="str">
        <f t="shared" si="3"/>
        <v/>
      </c>
      <c r="N23" s="21"/>
      <c r="O23" s="15"/>
      <c r="P23" s="1"/>
      <c r="Q23" s="1"/>
      <c r="R23" s="24" t="str">
        <f t="shared" si="4"/>
        <v/>
      </c>
      <c r="S23" s="24" t="str">
        <f t="shared" si="5"/>
        <v/>
      </c>
      <c r="T23" s="21"/>
      <c r="U23" s="15"/>
      <c r="V23" s="1"/>
      <c r="W23" s="1"/>
      <c r="X23" s="24" t="str">
        <f t="shared" si="6"/>
        <v/>
      </c>
      <c r="Y23" s="24" t="str">
        <f t="shared" si="7"/>
        <v/>
      </c>
      <c r="Z23" s="11" t="str">
        <f>IF(T23="","",IF(LEFT(Pesos_Blancos!A21,2)="QC",T23,IF(ABS((N23-T23))&lt;=0.01,(N23+T23)/2,"Error")))</f>
        <v/>
      </c>
      <c r="AA23" s="11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1"/>
      <c r="C24" s="15"/>
      <c r="D24" s="1"/>
      <c r="E24" s="1"/>
      <c r="F24" s="24" t="str">
        <f t="shared" si="0"/>
        <v/>
      </c>
      <c r="G24" s="24" t="str">
        <f t="shared" si="1"/>
        <v/>
      </c>
      <c r="H24" s="21"/>
      <c r="I24" s="15"/>
      <c r="J24" s="1"/>
      <c r="K24" s="1"/>
      <c r="L24" s="24" t="str">
        <f t="shared" si="2"/>
        <v/>
      </c>
      <c r="M24" s="24" t="str">
        <f t="shared" si="3"/>
        <v/>
      </c>
      <c r="N24" s="21"/>
      <c r="O24" s="15"/>
      <c r="P24" s="1"/>
      <c r="Q24" s="1"/>
      <c r="R24" s="24" t="str">
        <f t="shared" si="4"/>
        <v/>
      </c>
      <c r="S24" s="24" t="str">
        <f t="shared" si="5"/>
        <v/>
      </c>
      <c r="T24" s="21"/>
      <c r="U24" s="15"/>
      <c r="V24" s="1"/>
      <c r="W24" s="1"/>
      <c r="X24" s="24" t="str">
        <f t="shared" si="6"/>
        <v/>
      </c>
      <c r="Y24" s="24" t="str">
        <f t="shared" si="7"/>
        <v/>
      </c>
      <c r="Z24" s="11" t="str">
        <f>IF(T24="","",IF(LEFT(Pesos_Blancos!A22,2)="QC",T24,IF(ABS((N24-T24))&lt;=0.01,(N24+T24)/2,"Error")))</f>
        <v/>
      </c>
      <c r="AA24" s="11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QclzuKPMo3xMjftmOORsc3QwOAKzPaOu13RDugj7v01/CZKLEVu0KkM0wkQRPy5tEk9GefXC8qCB9bUB0IrqKQ==" saltValue="fYPcdxHoWPhEp+i9xx+2x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6" customWidth="1"/>
    <col min="3" max="3" width="18.42578125" style="20" customWidth="1"/>
    <col min="4" max="4" width="12.42578125" customWidth="1"/>
    <col min="6" max="6" width="18.5703125" style="26" customWidth="1"/>
    <col min="7" max="7" width="20" style="20" customWidth="1"/>
    <col min="10" max="10" width="18.7109375" style="26" customWidth="1"/>
    <col min="11" max="11" width="13.7109375" style="26" customWidth="1"/>
  </cols>
  <sheetData>
    <row r="1" spans="1:12" x14ac:dyDescent="0.25">
      <c r="A1" s="3" t="s">
        <v>0</v>
      </c>
      <c r="B1" s="10" t="s">
        <v>6</v>
      </c>
      <c r="C1" s="7" t="s">
        <v>11</v>
      </c>
      <c r="D1" s="14" t="s">
        <v>20</v>
      </c>
      <c r="E1" s="14" t="s">
        <v>19</v>
      </c>
      <c r="F1" s="10" t="s">
        <v>7</v>
      </c>
      <c r="G1" s="27" t="s">
        <v>4</v>
      </c>
      <c r="H1" s="14" t="s">
        <v>20</v>
      </c>
      <c r="I1" s="14" t="s">
        <v>19</v>
      </c>
      <c r="J1" s="28" t="s">
        <v>8</v>
      </c>
      <c r="K1" s="10" t="s">
        <v>28</v>
      </c>
      <c r="L1" s="4" t="s">
        <v>9</v>
      </c>
    </row>
    <row r="2" spans="1:12" x14ac:dyDescent="0.25">
      <c r="A2">
        <f>IF(Pesos_Blancos!A2&lt;&gt;"",Pesos_Blancos!A2,"")</f>
        <v>6548</v>
      </c>
      <c r="B2" s="26">
        <f>IF(AND(A2&lt;&gt;"",Filtros_Muestra!N4&lt;&gt;""),Filtros_Muestra!N4,"")</f>
        <v>29.568000000000001</v>
      </c>
      <c r="C2" s="20">
        <f>IF(AND(A2&lt;&gt;"",Filtros_Muestra!O4&lt;&gt;""),Filtros_Muestra!O4,"")</f>
        <v>44845.626319444447</v>
      </c>
      <c r="D2">
        <f>IF(AND(A2&lt;&gt;"",Filtros_Muestra!R4&lt;&gt;""),Filtros_Muestra!R4,"")</f>
        <v>36.6</v>
      </c>
      <c r="E2">
        <f>IF(AND(A2&lt;&gt;"",Filtros_Muestra!S4&lt;&gt;""),Filtros_Muestra!S4,"")</f>
        <v>20.900000000000002</v>
      </c>
      <c r="F2" s="26">
        <f>IF(AND(A2&lt;&gt;"",Filtros_Muestra!T4&lt;&gt;""),Filtros_Muestra!T4,"")</f>
        <v>29.567</v>
      </c>
      <c r="G2" s="20">
        <f>IF(AND(A2&lt;&gt;"",Filtros_Muestra!U4&lt;&gt;""),Filtros_Muestra!U4,"")</f>
        <v>44845.684374999997</v>
      </c>
      <c r="H2">
        <f>IF(AND(A2&lt;&gt;"",Filtros_Muestra!X4&lt;&gt;""),Filtros_Muestra!X4,"")</f>
        <v>40.700000000000003</v>
      </c>
      <c r="I2">
        <f>IF(AND(A2&lt;&gt;"",Filtros_Muestra!Y4&lt;&gt;""),Filtros_Muestra!Y4,"")</f>
        <v>22.7</v>
      </c>
      <c r="J2" s="26">
        <f>IF(AND(A2&lt;&gt;"",Filtros_Muestra!Z4&lt;&gt;""),Filtros_Muestra!Z4,"")</f>
        <v>29.567500000000003</v>
      </c>
      <c r="K2" s="26" t="str">
        <f>IF(AND(A2&lt;&gt;"",Filtros_Muestra!AA4&lt;&gt;""),Filtros_Muestra!AA4,"")</f>
        <v>Verifique</v>
      </c>
    </row>
    <row r="3" spans="1:12" x14ac:dyDescent="0.25">
      <c r="A3">
        <f>IF(Pesos_Blancos!A3&lt;&gt;"",Pesos_Blancos!A3,"")</f>
        <v>6680</v>
      </c>
      <c r="B3" s="26">
        <f>IF(AND(A3&lt;&gt;"",Filtros_Muestra!N5&lt;&gt;""),Filtros_Muestra!N5,"")</f>
        <v>27.065999999999999</v>
      </c>
      <c r="C3" s="20">
        <f>IF(AND(A3&lt;&gt;"",Filtros_Muestra!O5&lt;&gt;""),Filtros_Muestra!O5,"")</f>
        <v>44845.627245370371</v>
      </c>
      <c r="D3">
        <f>IF(AND(A3&lt;&gt;"",Filtros_Muestra!R5&lt;&gt;""),Filtros_Muestra!R5,"")</f>
        <v>36.6</v>
      </c>
      <c r="E3">
        <f>IF(AND(A3&lt;&gt;"",Filtros_Muestra!S5&lt;&gt;""),Filtros_Muestra!S5,"")</f>
        <v>20.900000000000002</v>
      </c>
      <c r="F3" s="26">
        <f>IF(AND(A3&lt;&gt;"",Filtros_Muestra!T5&lt;&gt;""),Filtros_Muestra!T5,"")</f>
        <v>27.064</v>
      </c>
      <c r="G3" s="20">
        <f>IF(AND(A3&lt;&gt;"",Filtros_Muestra!U5&lt;&gt;""),Filtros_Muestra!U5,"")</f>
        <v>44845.684884259259</v>
      </c>
      <c r="H3">
        <f>IF(AND(A3&lt;&gt;"",Filtros_Muestra!X5&lt;&gt;""),Filtros_Muestra!X5,"")</f>
        <v>40.700000000000003</v>
      </c>
      <c r="I3">
        <f>IF(AND(A3&lt;&gt;"",Filtros_Muestra!Y5&lt;&gt;""),Filtros_Muestra!Y5,"")</f>
        <v>22.7</v>
      </c>
      <c r="J3" s="26">
        <f>IF(AND(A3&lt;&gt;"",Filtros_Muestra!Z5&lt;&gt;""),Filtros_Muestra!Z5,"")</f>
        <v>27.064999999999998</v>
      </c>
      <c r="K3" s="26" t="str">
        <f>IF(A3&lt;&gt;"",Filtros_Muestra!AA5,"")</f>
        <v>Verifique</v>
      </c>
    </row>
    <row r="4" spans="1:12" x14ac:dyDescent="0.25">
      <c r="A4">
        <f>IF(Pesos_Blancos!A4&lt;&gt;"",Pesos_Blancos!A4,"")</f>
        <v>6681</v>
      </c>
      <c r="B4" s="26">
        <f>IF(AND(A4&lt;&gt;"",Filtros_Muestra!N6&lt;&gt;""),Filtros_Muestra!N6,"")</f>
        <v>33.11</v>
      </c>
      <c r="C4" s="20">
        <f>IF(AND(A4&lt;&gt;"",Filtros_Muestra!O6&lt;&gt;""),Filtros_Muestra!O6,"")</f>
        <v>44845.627604166664</v>
      </c>
      <c r="D4">
        <f>IF(AND(A4&lt;&gt;"",Filtros_Muestra!R6&lt;&gt;""),Filtros_Muestra!R6,"")</f>
        <v>36.6</v>
      </c>
      <c r="E4">
        <f>IF(AND(A4&lt;&gt;"",Filtros_Muestra!S6&lt;&gt;""),Filtros_Muestra!S6,"")</f>
        <v>20.900000000000002</v>
      </c>
      <c r="F4" s="26">
        <f>IF(AND(A4&lt;&gt;"",Filtros_Muestra!T6&lt;&gt;""),Filtros_Muestra!T6,"")</f>
        <v>33.1</v>
      </c>
      <c r="G4" s="20">
        <f>IF(AND(A4&lt;&gt;"",Filtros_Muestra!U6&lt;&gt;""),Filtros_Muestra!U6,"")</f>
        <v>44845.68608796296</v>
      </c>
      <c r="H4">
        <f>IF(AND(A4&lt;&gt;"",Filtros_Muestra!X6&lt;&gt;""),Filtros_Muestra!X6,"")</f>
        <v>40.700000000000003</v>
      </c>
      <c r="I4">
        <f>IF(AND(A4&lt;&gt;"",Filtros_Muestra!Y6&lt;&gt;""),Filtros_Muestra!Y6,"")</f>
        <v>22.7</v>
      </c>
      <c r="J4" s="26">
        <f>IF(AND(A4&lt;&gt;"",Filtros_Muestra!Z6&lt;&gt;""),Filtros_Muestra!Z6,"")</f>
        <v>33.105000000000004</v>
      </c>
      <c r="K4" s="26" t="str">
        <f>IF(A4&lt;&gt;"",Filtros_Muestra!AA6,"")</f>
        <v>Verifique</v>
      </c>
    </row>
    <row r="5" spans="1:12" x14ac:dyDescent="0.25">
      <c r="A5">
        <f>IF(Pesos_Blancos!A5&lt;&gt;"",Pesos_Blancos!A5,"")</f>
        <v>6682</v>
      </c>
      <c r="B5" s="26">
        <f>IF(AND(A5&lt;&gt;"",Filtros_Muestra!N7&lt;&gt;""),Filtros_Muestra!N7,"")</f>
        <v>32.277999999999999</v>
      </c>
      <c r="C5" s="20">
        <f>IF(AND(A5&lt;&gt;"",Filtros_Muestra!O7&lt;&gt;""),Filtros_Muestra!O7,"")</f>
        <v>44845.627986111111</v>
      </c>
      <c r="D5">
        <f>IF(AND(A5&lt;&gt;"",Filtros_Muestra!R7&lt;&gt;""),Filtros_Muestra!R7,"")</f>
        <v>36.6</v>
      </c>
      <c r="E5">
        <f>IF(AND(A5&lt;&gt;"",Filtros_Muestra!S7&lt;&gt;""),Filtros_Muestra!S7,"")</f>
        <v>20.900000000000002</v>
      </c>
      <c r="F5" s="26">
        <f>IF(AND(A5&lt;&gt;"",Filtros_Muestra!T7&lt;&gt;""),Filtros_Muestra!T7,"")</f>
        <v>32.270000000000003</v>
      </c>
      <c r="G5" s="20">
        <f>IF(AND(A5&lt;&gt;"",Filtros_Muestra!U7&lt;&gt;""),Filtros_Muestra!U7,"")</f>
        <v>44845.686736111114</v>
      </c>
      <c r="H5">
        <f>IF(AND(A5&lt;&gt;"",Filtros_Muestra!X7&lt;&gt;""),Filtros_Muestra!X7,"")</f>
        <v>40.700000000000003</v>
      </c>
      <c r="I5">
        <f>IF(AND(A5&lt;&gt;"",Filtros_Muestra!Y7&lt;&gt;""),Filtros_Muestra!Y7,"")</f>
        <v>22.7</v>
      </c>
      <c r="J5" s="26">
        <f>IF(AND(A5&lt;&gt;"",Filtros_Muestra!Z7&lt;&gt;""),Filtros_Muestra!Z7,"")</f>
        <v>32.274000000000001</v>
      </c>
      <c r="K5" s="26" t="str">
        <f>IF(A5&lt;&gt;"",Filtros_Muestra!AA7,"")</f>
        <v>Verifique</v>
      </c>
    </row>
    <row r="6" spans="1:12" x14ac:dyDescent="0.25">
      <c r="A6">
        <f>IF(Pesos_Blancos!A6&lt;&gt;"",Pesos_Blancos!A6,"")</f>
        <v>6683</v>
      </c>
      <c r="B6" s="26">
        <f>IF(AND(A6&lt;&gt;"",Filtros_Muestra!N8&lt;&gt;""),Filtros_Muestra!N8,"")</f>
        <v>27.42</v>
      </c>
      <c r="C6" s="20">
        <f>IF(AND(A6&lt;&gt;"",Filtros_Muestra!O8&lt;&gt;""),Filtros_Muestra!O8,"")</f>
        <v>44845.628587962965</v>
      </c>
      <c r="D6">
        <f>IF(AND(A6&lt;&gt;"",Filtros_Muestra!R8&lt;&gt;""),Filtros_Muestra!R8,"")</f>
        <v>36.6</v>
      </c>
      <c r="E6">
        <f>IF(AND(A6&lt;&gt;"",Filtros_Muestra!S8&lt;&gt;""),Filtros_Muestra!S8,"")</f>
        <v>20.900000000000002</v>
      </c>
      <c r="F6" s="26">
        <f>IF(AND(A6&lt;&gt;"",Filtros_Muestra!T8&lt;&gt;""),Filtros_Muestra!T8,"")</f>
        <v>27.416</v>
      </c>
      <c r="G6" s="20">
        <f>IF(AND(A6&lt;&gt;"",Filtros_Muestra!U8&lt;&gt;""),Filtros_Muestra!U8,"")</f>
        <v>44845.687164351853</v>
      </c>
      <c r="H6">
        <f>IF(AND(A6&lt;&gt;"",Filtros_Muestra!X8&lt;&gt;""),Filtros_Muestra!X8,"")</f>
        <v>40.700000000000003</v>
      </c>
      <c r="I6">
        <f>IF(AND(A6&lt;&gt;"",Filtros_Muestra!Y8&lt;&gt;""),Filtros_Muestra!Y8,"")</f>
        <v>22.7</v>
      </c>
      <c r="J6" s="26">
        <f>IF(AND(A6&lt;&gt;"",Filtros_Muestra!Z8&lt;&gt;""),Filtros_Muestra!Z8,"")</f>
        <v>27.417999999999999</v>
      </c>
      <c r="K6" s="26" t="str">
        <f>IF(A6&lt;&gt;"",Filtros_Muestra!AA8,"")</f>
        <v>Verifique</v>
      </c>
    </row>
    <row r="7" spans="1:12" x14ac:dyDescent="0.25">
      <c r="A7">
        <f>IF(Pesos_Blancos!A7&lt;&gt;"",Pesos_Blancos!A7,"")</f>
        <v>6710</v>
      </c>
      <c r="B7" s="26">
        <f>IF(AND(A7&lt;&gt;"",Filtros_Muestra!N9&lt;&gt;""),Filtros_Muestra!N9,"")</f>
        <v>24.324000000000002</v>
      </c>
      <c r="C7" s="20">
        <f>IF(AND(A7&lt;&gt;"",Filtros_Muestra!O9&lt;&gt;""),Filtros_Muestra!O9,"")</f>
        <v>44845.62903935185</v>
      </c>
      <c r="D7">
        <f>IF(AND(A7&lt;&gt;"",Filtros_Muestra!R9&lt;&gt;""),Filtros_Muestra!R9,"")</f>
        <v>36.6</v>
      </c>
      <c r="E7">
        <f>IF(AND(A7&lt;&gt;"",Filtros_Muestra!S9&lt;&gt;""),Filtros_Muestra!S9,"")</f>
        <v>20.900000000000002</v>
      </c>
      <c r="F7" s="26">
        <f>IF(AND(A7&lt;&gt;"",Filtros_Muestra!T9&lt;&gt;""),Filtros_Muestra!T9,"")</f>
        <v>24.324999999999999</v>
      </c>
      <c r="G7" s="20">
        <f>IF(AND(A7&lt;&gt;"",Filtros_Muestra!U9&lt;&gt;""),Filtros_Muestra!U9,"")</f>
        <v>44845.6875462963</v>
      </c>
      <c r="H7">
        <f>IF(AND(A7&lt;&gt;"",Filtros_Muestra!X9&lt;&gt;""),Filtros_Muestra!X9,"")</f>
        <v>40.700000000000003</v>
      </c>
      <c r="I7">
        <f>IF(AND(A7&lt;&gt;"",Filtros_Muestra!Y9&lt;&gt;""),Filtros_Muestra!Y9,"")</f>
        <v>22.7</v>
      </c>
      <c r="J7" s="26">
        <f>IF(AND(A7&lt;&gt;"",Filtros_Muestra!Z9&lt;&gt;""),Filtros_Muestra!Z9,"")</f>
        <v>24.3245</v>
      </c>
      <c r="K7" s="26" t="str">
        <f>IF(A7&lt;&gt;"",Filtros_Muestra!AA9,"")</f>
        <v>Verifique</v>
      </c>
    </row>
    <row r="8" spans="1:12" x14ac:dyDescent="0.25">
      <c r="A8">
        <f>IF(Pesos_Blancos!A8&lt;&gt;"",Pesos_Blancos!A8,"")</f>
        <v>6738</v>
      </c>
      <c r="B8" s="26">
        <f>IF(AND(A8&lt;&gt;"",Filtros_Muestra!N10&lt;&gt;""),Filtros_Muestra!N10,"")</f>
        <v>34.396000000000001</v>
      </c>
      <c r="C8" s="20">
        <f>IF(AND(A8&lt;&gt;"",Filtros_Muestra!O10&lt;&gt;""),Filtros_Muestra!O10,"")</f>
        <v>44845.629467592589</v>
      </c>
      <c r="D8">
        <f>IF(AND(A8&lt;&gt;"",Filtros_Muestra!R10&lt;&gt;""),Filtros_Muestra!R10,"")</f>
        <v>36.6</v>
      </c>
      <c r="E8">
        <f>IF(AND(A8&lt;&gt;"",Filtros_Muestra!S10&lt;&gt;""),Filtros_Muestra!S10,"")</f>
        <v>20.900000000000002</v>
      </c>
      <c r="F8" s="26">
        <f>IF(AND(A8&lt;&gt;"",Filtros_Muestra!T10&lt;&gt;""),Filtros_Muestra!T10,"")</f>
        <v>34.395000000000003</v>
      </c>
      <c r="G8" s="20">
        <f>IF(AND(A8&lt;&gt;"",Filtros_Muestra!U10&lt;&gt;""),Filtros_Muestra!U10,"")</f>
        <v>44845.687997685185</v>
      </c>
      <c r="H8">
        <f>IF(AND(A8&lt;&gt;"",Filtros_Muestra!X10&lt;&gt;""),Filtros_Muestra!X10,"")</f>
        <v>40.700000000000003</v>
      </c>
      <c r="I8">
        <f>IF(AND(A8&lt;&gt;"",Filtros_Muestra!Y10&lt;&gt;""),Filtros_Muestra!Y10,"")</f>
        <v>22.7</v>
      </c>
      <c r="J8" s="26">
        <f>IF(AND(A8&lt;&gt;"",Filtros_Muestra!Z10&lt;&gt;""),Filtros_Muestra!Z10,"")</f>
        <v>34.395499999999998</v>
      </c>
      <c r="K8" s="26" t="str">
        <f>IF(A8&lt;&gt;"",Filtros_Muestra!AA10,"")</f>
        <v>Verifique</v>
      </c>
    </row>
    <row r="9" spans="1:12" x14ac:dyDescent="0.25">
      <c r="A9" t="str">
        <f>IF(Pesos_Blancos!A9&lt;&gt;"",Pesos_Blancos!A9,"")</f>
        <v>QC</v>
      </c>
      <c r="B9" s="26">
        <f>IF(AND(A9&lt;&gt;"",Filtros_Muestra!N11&lt;&gt;""),Filtros_Muestra!N11,"")</f>
        <v>9.9930000000000003</v>
      </c>
      <c r="C9" s="20">
        <f>IF(AND(A9&lt;&gt;"",Filtros_Muestra!O11&lt;&gt;""),Filtros_Muestra!O11,"")</f>
        <v>44845.629988425928</v>
      </c>
      <c r="D9">
        <f>IF(AND(A9&lt;&gt;"",Filtros_Muestra!R11&lt;&gt;""),Filtros_Muestra!R11,"")</f>
        <v>37.400000000000006</v>
      </c>
      <c r="E9">
        <f>IF(AND(A9&lt;&gt;"",Filtros_Muestra!S11&lt;&gt;""),Filtros_Muestra!S11,"")</f>
        <v>21.3</v>
      </c>
      <c r="F9" s="26">
        <f>IF(AND(A9&lt;&gt;"",Filtros_Muestra!T11&lt;&gt;""),Filtros_Muestra!T11,"")</f>
        <v>9.9930000000000003</v>
      </c>
      <c r="G9" s="20">
        <f>IF(AND(A9&lt;&gt;"",Filtros_Muestra!U11&lt;&gt;""),Filtros_Muestra!U11,"")</f>
        <v>44845.688321759262</v>
      </c>
      <c r="H9">
        <f>IF(AND(A9&lt;&gt;"",Filtros_Muestra!X11&lt;&gt;""),Filtros_Muestra!X11,"")</f>
        <v>41.800000000000004</v>
      </c>
      <c r="I9">
        <f>IF(AND(A9&lt;&gt;"",Filtros_Muestra!Y11&lt;&gt;""),Filtros_Muestra!Y11,"")</f>
        <v>22.8</v>
      </c>
      <c r="J9" s="26">
        <f>IF(AND(A9&lt;&gt;"",Filtros_Muestra!Z11&lt;&gt;""),Filtros_Muestra!Z11,"")</f>
        <v>9.9930000000000003</v>
      </c>
      <c r="K9" s="26">
        <f>IF(A9&lt;&gt;"",Filtros_Muestra!AA11,"")</f>
        <v>9.9930000000000003</v>
      </c>
    </row>
    <row r="10" spans="1:12" x14ac:dyDescent="0.25">
      <c r="A10" t="str">
        <f>IF(Pesos_Blancos!A10&lt;&gt;"",Pesos_Blancos!A10,"")</f>
        <v/>
      </c>
      <c r="B10" s="26" t="str">
        <f>IF(AND(A10&lt;&gt;"",Filtros_Muestra!N12&lt;&gt;""),Filtros_Muestra!N12,"")</f>
        <v/>
      </c>
      <c r="C10" s="20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6" t="str">
        <f>IF(AND(A10&lt;&gt;"",Filtros_Muestra!T12&lt;&gt;""),Filtros_Muestra!T12,"")</f>
        <v/>
      </c>
      <c r="G10" s="20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6" t="str">
        <f>IF(AND(A10&lt;&gt;"",Filtros_Muestra!Z12&lt;&gt;""),Filtros_Muestra!Z12,"")</f>
        <v/>
      </c>
      <c r="K10" s="26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6" t="str">
        <f>IF(AND(A11&lt;&gt;"",Filtros_Muestra!N13&lt;&gt;""),Filtros_Muestra!N13,"")</f>
        <v/>
      </c>
      <c r="C11" s="20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6" t="str">
        <f>IF(AND(A11&lt;&gt;"",Filtros_Muestra!T13&lt;&gt;""),Filtros_Muestra!T13,"")</f>
        <v/>
      </c>
      <c r="G11" s="20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6" t="str">
        <f>IF(AND(A11&lt;&gt;"",Filtros_Muestra!Z13&lt;&gt;""),Filtros_Muestra!Z13,"")</f>
        <v/>
      </c>
      <c r="K11" s="26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6" t="str">
        <f>IF(AND(A12&lt;&gt;"",Filtros_Muestra!N14&lt;&gt;""),Filtros_Muestra!N14,"")</f>
        <v/>
      </c>
      <c r="C12" s="20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6" t="str">
        <f>IF(AND(A12&lt;&gt;"",Filtros_Muestra!T14&lt;&gt;""),Filtros_Muestra!T14,"")</f>
        <v/>
      </c>
      <c r="G12" s="20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6" t="str">
        <f>IF(AND(A12&lt;&gt;"",Filtros_Muestra!Z14&lt;&gt;""),Filtros_Muestra!Z14,"")</f>
        <v/>
      </c>
      <c r="K12" s="26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6" t="str">
        <f>IF(AND(A13&lt;&gt;"",Filtros_Muestra!N15&lt;&gt;""),Filtros_Muestra!N15,"")</f>
        <v/>
      </c>
      <c r="C13" s="20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6" t="str">
        <f>IF(AND(A13&lt;&gt;"",Filtros_Muestra!T15&lt;&gt;""),Filtros_Muestra!T15,"")</f>
        <v/>
      </c>
      <c r="G13" s="20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6" t="str">
        <f>IF(AND(A13&lt;&gt;"",Filtros_Muestra!Z15&lt;&gt;""),Filtros_Muestra!Z15,"")</f>
        <v/>
      </c>
      <c r="K13" s="26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6" t="str">
        <f>IF(AND(A14&lt;&gt;"",Filtros_Muestra!N16&lt;&gt;""),Filtros_Muestra!N16,"")</f>
        <v/>
      </c>
      <c r="C14" s="20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6" t="str">
        <f>IF(AND(A14&lt;&gt;"",Filtros_Muestra!T16&lt;&gt;""),Filtros_Muestra!T16,"")</f>
        <v/>
      </c>
      <c r="G14" s="20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6" t="str">
        <f>IF(AND(A14&lt;&gt;"",Filtros_Muestra!Z16&lt;&gt;""),Filtros_Muestra!Z16,"")</f>
        <v/>
      </c>
      <c r="K14" s="26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6" t="str">
        <f>IF(AND(A15&lt;&gt;"",Filtros_Muestra!N17&lt;&gt;""),Filtros_Muestra!N17,"")</f>
        <v/>
      </c>
      <c r="C15" s="20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6" t="str">
        <f>IF(AND(A15&lt;&gt;"",Filtros_Muestra!T17&lt;&gt;""),Filtros_Muestra!T17,"")</f>
        <v/>
      </c>
      <c r="G15" s="20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6" t="str">
        <f>IF(AND(A15&lt;&gt;"",Filtros_Muestra!Z17&lt;&gt;""),Filtros_Muestra!Z17,"")</f>
        <v/>
      </c>
      <c r="K15" s="26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6" t="str">
        <f>IF(AND(A16&lt;&gt;"",Filtros_Muestra!N18&lt;&gt;""),Filtros_Muestra!N18,"")</f>
        <v/>
      </c>
      <c r="C16" s="20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6" t="str">
        <f>IF(AND(A16&lt;&gt;"",Filtros_Muestra!T18&lt;&gt;""),Filtros_Muestra!T18,"")</f>
        <v/>
      </c>
      <c r="G16" s="20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6" t="str">
        <f>IF(AND(A16&lt;&gt;"",Filtros_Muestra!Z18&lt;&gt;""),Filtros_Muestra!Z18,"")</f>
        <v/>
      </c>
      <c r="K16" s="26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6" t="str">
        <f>IF(AND(A17&lt;&gt;"",Filtros_Muestra!N19&lt;&gt;""),Filtros_Muestra!N19,"")</f>
        <v/>
      </c>
      <c r="C17" s="20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6" t="str">
        <f>IF(AND(A17&lt;&gt;"",Filtros_Muestra!T19&lt;&gt;""),Filtros_Muestra!T19,"")</f>
        <v/>
      </c>
      <c r="G17" s="20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6" t="str">
        <f>IF(AND(A17&lt;&gt;"",Filtros_Muestra!Z19&lt;&gt;""),Filtros_Muestra!Z19,"")</f>
        <v/>
      </c>
      <c r="K17" s="26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6" t="str">
        <f>IF(AND(A18&lt;&gt;"",Filtros_Muestra!N20&lt;&gt;""),Filtros_Muestra!N20,"")</f>
        <v/>
      </c>
      <c r="C18" s="20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6" t="str">
        <f>IF(AND(A18&lt;&gt;"",Filtros_Muestra!T20&lt;&gt;""),Filtros_Muestra!T20,"")</f>
        <v/>
      </c>
      <c r="G18" s="20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6" t="str">
        <f>IF(AND(A18&lt;&gt;"",Filtros_Muestra!Z20&lt;&gt;""),Filtros_Muestra!Z20,"")</f>
        <v/>
      </c>
      <c r="K18" s="26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6" t="str">
        <f>IF(AND(A19&lt;&gt;"",Filtros_Muestra!N21&lt;&gt;""),Filtros_Muestra!N21,"")</f>
        <v/>
      </c>
      <c r="C19" s="20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6" t="str">
        <f>IF(AND(A19&lt;&gt;"",Filtros_Muestra!T21&lt;&gt;""),Filtros_Muestra!T21,"")</f>
        <v/>
      </c>
      <c r="G19" s="20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6" t="str">
        <f>IF(AND(A19&lt;&gt;"",Filtros_Muestra!Z21&lt;&gt;""),Filtros_Muestra!Z21,"")</f>
        <v/>
      </c>
      <c r="K19" s="26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6" t="str">
        <f>IF(AND(A20&lt;&gt;"",Filtros_Muestra!N22&lt;&gt;""),Filtros_Muestra!N22,"")</f>
        <v/>
      </c>
      <c r="C20" s="20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6" t="str">
        <f>IF(AND(A20&lt;&gt;"",Filtros_Muestra!T22&lt;&gt;""),Filtros_Muestra!T22,"")</f>
        <v/>
      </c>
      <c r="G20" s="20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6" t="str">
        <f>IF(AND(A20&lt;&gt;"",Filtros_Muestra!Z22&lt;&gt;""),Filtros_Muestra!Z22,"")</f>
        <v/>
      </c>
      <c r="K20" s="26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6" t="str">
        <f>IF(AND(A21&lt;&gt;"",Filtros_Muestra!N23&lt;&gt;""),Filtros_Muestra!N23,"")</f>
        <v/>
      </c>
      <c r="C21" s="20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6" t="str">
        <f>IF(AND(A21&lt;&gt;"",Filtros_Muestra!T23&lt;&gt;""),Filtros_Muestra!T23,"")</f>
        <v/>
      </c>
      <c r="G21" s="20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6" t="str">
        <f>IF(AND(A21&lt;&gt;"",Filtros_Muestra!Z23&lt;&gt;""),Filtros_Muestra!Z23,"")</f>
        <v/>
      </c>
      <c r="K21" s="26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6" t="str">
        <f>IF(AND(A22&lt;&gt;"",Filtros_Muestra!N24&lt;&gt;""),Filtros_Muestra!N24,"")</f>
        <v/>
      </c>
      <c r="C22" s="20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6" t="str">
        <f>IF(AND(A22&lt;&gt;"",Filtros_Muestra!T24&lt;&gt;""),Filtros_Muestra!T24,"")</f>
        <v/>
      </c>
      <c r="G22" s="20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6" t="str">
        <f>IF(AND(A22&lt;&gt;"",Filtros_Muestra!Z24&lt;&gt;""),Filtros_Muestra!Z24,"")</f>
        <v/>
      </c>
      <c r="K22" s="26" t="str">
        <f>IF(A22&lt;&gt;"",Filtros_Muestra!AA24,"")</f>
        <v/>
      </c>
    </row>
  </sheetData>
  <sheetProtection algorithmName="SHA-512" hashValue="2VJdTVpUPnZwxQYvybVvKxwnAc5wnFHq2YM+IjbD5zK1L6gwF8AoTaJyzw2cKU5MGmzb+lxomvxrHpztFBOE4A==" saltValue="LXuiYlC/Rhs4SS1rsuHbSQ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C61649B-4344-4C54-AC0B-A141720F2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1141E4-AB85-49F1-A964-B9FA7EA250E7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1590A29A-3D55-4BB3-B5A2-DC8199187D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2022-08-17T16:50:10Z</cp:lastPrinted>
  <dcterms:created xsi:type="dcterms:W3CDTF">2022-02-07T17:43:38Z</dcterms:created>
  <dcterms:modified xsi:type="dcterms:W3CDTF">2022-10-11T19:33:23Z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