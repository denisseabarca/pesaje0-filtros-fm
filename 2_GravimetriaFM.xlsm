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FM\"/>
    </mc:Choice>
  </mc:AlternateContent>
  <xr:revisionPtr revIDLastSave="0" documentId="13_ncr:1_{34FC0ABF-617C-47A8-B697-5774FAC527AA}" xr6:coauthVersionLast="47" xr6:coauthVersionMax="47" xr10:uidLastSave="{00000000-0000-0000-0000-000000000000}"/>
  <workbookProtection workbookAlgorithmName="SHA-512" workbookHashValue="ZH0llxjBJvaJSHjNxgyc6KHYdJ58ExyU85iv48LSXlg1HQgOrcLsmM4i686ByGl60lAgIX+H/tt72AK0fYn2jQ==" workbookSaltValue="62gb+lBxW9SX8yVe6yJNTg==" workbookSpinCount="100000" lockStructure="1"/>
  <bookViews>
    <workbookView xWindow="-120" yWindow="-120" windowWidth="29040" windowHeight="15840" xr2:uid="{00000000-000D-0000-FFFF-FFFF00000000}"/>
  </bookViews>
  <sheets>
    <sheet name="Pesos_Blancos" sheetId="1" r:id="rId1"/>
    <sheet name="Filtros_Muestra" sheetId="3" r:id="rId2"/>
    <sheet name="Pesos_Finales" sheetId="4" r:id="rId3"/>
  </sheet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2" i="1"/>
  <c r="E2" i="1"/>
  <c r="I20" i="4" l="1"/>
  <c r="G20" i="4"/>
  <c r="E20" i="4"/>
  <c r="C20" i="4"/>
  <c r="A3" i="4"/>
  <c r="J3" i="4" s="1"/>
  <c r="A4" i="4"/>
  <c r="J4" i="4" s="1"/>
  <c r="A5" i="4"/>
  <c r="J5" i="4" s="1"/>
  <c r="A6" i="4"/>
  <c r="F6" i="4" s="1"/>
  <c r="A7" i="4"/>
  <c r="I7" i="4" s="1"/>
  <c r="A8" i="4"/>
  <c r="J8" i="4" s="1"/>
  <c r="A9" i="4"/>
  <c r="J9" i="4" s="1"/>
  <c r="A10" i="4"/>
  <c r="J10" i="4" s="1"/>
  <c r="A11" i="4"/>
  <c r="I11" i="4" s="1"/>
  <c r="A12" i="4"/>
  <c r="J12" i="4" s="1"/>
  <c r="A13" i="4"/>
  <c r="J13" i="4" s="1"/>
  <c r="A14" i="4"/>
  <c r="J14" i="4" s="1"/>
  <c r="A15" i="4"/>
  <c r="I15" i="4" s="1"/>
  <c r="A16" i="4"/>
  <c r="J16" i="4" s="1"/>
  <c r="A17" i="4"/>
  <c r="J17" i="4" s="1"/>
  <c r="A18" i="4"/>
  <c r="J18" i="4" s="1"/>
  <c r="A19" i="4"/>
  <c r="I19" i="4" s="1"/>
  <c r="A20" i="4"/>
  <c r="J20" i="4" s="1"/>
  <c r="A21" i="4"/>
  <c r="J21" i="4" s="1"/>
  <c r="A22" i="4"/>
  <c r="J22" i="4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16" i="4" l="1"/>
  <c r="E16" i="4"/>
  <c r="G16" i="4"/>
  <c r="I16" i="4"/>
  <c r="C12" i="4"/>
  <c r="E12" i="4"/>
  <c r="G12" i="4"/>
  <c r="I12" i="4"/>
  <c r="C8" i="4"/>
  <c r="E8" i="4"/>
  <c r="G8" i="4"/>
  <c r="I8" i="4"/>
  <c r="B20" i="4"/>
  <c r="B16" i="4"/>
  <c r="B12" i="4"/>
  <c r="B8" i="4"/>
  <c r="C22" i="4"/>
  <c r="C18" i="4"/>
  <c r="C14" i="4"/>
  <c r="C10" i="4"/>
  <c r="C6" i="4"/>
  <c r="D20" i="4"/>
  <c r="D16" i="4"/>
  <c r="D12" i="4"/>
  <c r="D8" i="4"/>
  <c r="E22" i="4"/>
  <c r="E18" i="4"/>
  <c r="E14" i="4"/>
  <c r="E10" i="4"/>
  <c r="E6" i="4"/>
  <c r="F20" i="4"/>
  <c r="F16" i="4"/>
  <c r="F12" i="4"/>
  <c r="F8" i="4"/>
  <c r="G22" i="4"/>
  <c r="G18" i="4"/>
  <c r="G14" i="4"/>
  <c r="G10" i="4"/>
  <c r="G6" i="4"/>
  <c r="H20" i="4"/>
  <c r="H16" i="4"/>
  <c r="H12" i="4"/>
  <c r="H8" i="4"/>
  <c r="I22" i="4"/>
  <c r="I18" i="4"/>
  <c r="I14" i="4"/>
  <c r="I10" i="4"/>
  <c r="I6" i="4"/>
  <c r="B22" i="4"/>
  <c r="D22" i="4"/>
  <c r="D18" i="4"/>
  <c r="D14" i="4"/>
  <c r="D10" i="4"/>
  <c r="D6" i="4"/>
  <c r="F22" i="4"/>
  <c r="F14" i="4"/>
  <c r="H18" i="4"/>
  <c r="H6" i="4"/>
  <c r="B19" i="4"/>
  <c r="B15" i="4"/>
  <c r="B11" i="4"/>
  <c r="B7" i="4"/>
  <c r="C21" i="4"/>
  <c r="C17" i="4"/>
  <c r="C13" i="4"/>
  <c r="C9" i="4"/>
  <c r="C5" i="4"/>
  <c r="D19" i="4"/>
  <c r="D15" i="4"/>
  <c r="D11" i="4"/>
  <c r="D7" i="4"/>
  <c r="E21" i="4"/>
  <c r="E17" i="4"/>
  <c r="E13" i="4"/>
  <c r="E9" i="4"/>
  <c r="E5" i="4"/>
  <c r="F19" i="4"/>
  <c r="F15" i="4"/>
  <c r="F11" i="4"/>
  <c r="F7" i="4"/>
  <c r="G21" i="4"/>
  <c r="G17" i="4"/>
  <c r="G13" i="4"/>
  <c r="G9" i="4"/>
  <c r="G5" i="4"/>
  <c r="H19" i="4"/>
  <c r="H15" i="4"/>
  <c r="H11" i="4"/>
  <c r="H7" i="4"/>
  <c r="I21" i="4"/>
  <c r="I17" i="4"/>
  <c r="I13" i="4"/>
  <c r="I9" i="4"/>
  <c r="I5" i="4"/>
  <c r="J19" i="4"/>
  <c r="J15" i="4"/>
  <c r="J11" i="4"/>
  <c r="J7" i="4"/>
  <c r="J6" i="4"/>
  <c r="B18" i="4"/>
  <c r="B14" i="4"/>
  <c r="B10" i="4"/>
  <c r="B6" i="4"/>
  <c r="F18" i="4"/>
  <c r="F10" i="4"/>
  <c r="H22" i="4"/>
  <c r="H14" i="4"/>
  <c r="H10" i="4"/>
  <c r="B21" i="4"/>
  <c r="B17" i="4"/>
  <c r="B13" i="4"/>
  <c r="B9" i="4"/>
  <c r="B5" i="4"/>
  <c r="C19" i="4"/>
  <c r="C15" i="4"/>
  <c r="C11" i="4"/>
  <c r="C7" i="4"/>
  <c r="D21" i="4"/>
  <c r="D17" i="4"/>
  <c r="D13" i="4"/>
  <c r="D9" i="4"/>
  <c r="D5" i="4"/>
  <c r="E19" i="4"/>
  <c r="E15" i="4"/>
  <c r="E11" i="4"/>
  <c r="E7" i="4"/>
  <c r="F21" i="4"/>
  <c r="F17" i="4"/>
  <c r="F13" i="4"/>
  <c r="F9" i="4"/>
  <c r="F5" i="4"/>
  <c r="G19" i="4"/>
  <c r="G15" i="4"/>
  <c r="G11" i="4"/>
  <c r="G7" i="4"/>
  <c r="H21" i="4"/>
  <c r="H17" i="4"/>
  <c r="H13" i="4"/>
  <c r="H9" i="4"/>
  <c r="H5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A4" i="3" s="1"/>
  <c r="A2" i="4" l="1"/>
  <c r="X5" i="3"/>
  <c r="H3" i="4" s="1"/>
  <c r="Y5" i="3"/>
  <c r="I3" i="4" s="1"/>
  <c r="X6" i="3"/>
  <c r="H4" i="4" s="1"/>
  <c r="Y6" i="3"/>
  <c r="I4" i="4" s="1"/>
  <c r="X7" i="3"/>
  <c r="Y7" i="3"/>
  <c r="X8" i="3"/>
  <c r="Y8" i="3"/>
  <c r="X9" i="3"/>
  <c r="Y9" i="3"/>
  <c r="X10" i="3"/>
  <c r="Y10" i="3"/>
  <c r="X11" i="3"/>
  <c r="Y11" i="3"/>
  <c r="X12" i="3"/>
  <c r="Y12" i="3"/>
  <c r="X13" i="3"/>
  <c r="Y13" i="3"/>
  <c r="X14" i="3"/>
  <c r="Y14" i="3"/>
  <c r="X15" i="3"/>
  <c r="Y15" i="3"/>
  <c r="X16" i="3"/>
  <c r="Y16" i="3"/>
  <c r="X17" i="3"/>
  <c r="Y17" i="3"/>
  <c r="X18" i="3"/>
  <c r="Y18" i="3"/>
  <c r="X19" i="3"/>
  <c r="Y19" i="3"/>
  <c r="X20" i="3"/>
  <c r="Y20" i="3"/>
  <c r="X21" i="3"/>
  <c r="Y21" i="3"/>
  <c r="X22" i="3"/>
  <c r="Y22" i="3"/>
  <c r="X23" i="3"/>
  <c r="Y23" i="3"/>
  <c r="X24" i="3"/>
  <c r="Y24" i="3"/>
  <c r="Y4" i="3"/>
  <c r="X4" i="3"/>
  <c r="R5" i="3"/>
  <c r="D3" i="4" s="1"/>
  <c r="S5" i="3"/>
  <c r="E3" i="4" s="1"/>
  <c r="R6" i="3"/>
  <c r="D4" i="4" s="1"/>
  <c r="S6" i="3"/>
  <c r="E4" i="4" s="1"/>
  <c r="R7" i="3"/>
  <c r="S7" i="3"/>
  <c r="R8" i="3"/>
  <c r="S8" i="3"/>
  <c r="R9" i="3"/>
  <c r="S9" i="3"/>
  <c r="R10" i="3"/>
  <c r="S10" i="3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" i="4" l="1"/>
</calcChain>
</file>

<file path=xl/sharedStrings.xml><?xml version="1.0" encoding="utf-8"?>
<sst xmlns="http://schemas.openxmlformats.org/spreadsheetml/2006/main" count="64" uniqueCount="43">
  <si>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</si>
  <si>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</si>
  <si>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</si>
  <si>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</si>
  <si>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</si>
  <si>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</si>
  <si>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</si>
  <si>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</si>
  <si>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GRAV_MON_FM</t>
  </si>
  <si>
    <t>end</t>
  </si>
  <si>
    <t>GRAV_BLK_FM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</si>
  <si>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</si>
  <si>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</si>
  <si>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</si>
  <si>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</si>
  <si>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</si>
  <si>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</si>
  <si>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</si>
  <si>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</si>
  <si>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</si>
  <si>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</si>
  <si>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</si>
  <si>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</si>
  <si>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</si>
  <si>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</si>
  <si>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</si>
  <si>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</si>
  <si>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</si>
  <si>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GRAV_FM100</t>
  </si>
  <si>
    <t>Pesaje de Filtros</t>
  </si>
  <si>
    <t>Código Termohigrómetro:</t>
  </si>
  <si>
    <t>Código Masa Patrón:</t>
  </si>
  <si>
    <t>Tipo de Filtro:</t>
  </si>
  <si>
    <t>FM-100 Monitoreado</t>
  </si>
  <si>
    <t>Peso_1
mg</t>
  </si>
  <si>
    <t>ID FILTRO</t>
  </si>
  <si>
    <t>Peso_4
mg</t>
  </si>
  <si>
    <t>Fecha_4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</si>
  <si>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</si>
  <si>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YZ</t>
  </si>
  <si>
    <t>THI-013</t>
  </si>
  <si>
    <t>MSP-001</t>
  </si>
  <si>
    <t>QC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</si>
</sst>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/mm/dd\ hh:mm:ss"/>
    <numFmt numFmtId="165" formatCode="0.000"/>
    <numFmt numFmtId="166" formatCode="0.0"/>
    <numFmt numFmtId="167" formatCode="yyyy/mm/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tabSelected="1" workbookViewId="0">
      <selection activeCell="B2" sqref="B2"/>
    </sheetView>
  </sheetViews>
  <sheetFormatPr baseColWidth="10" defaultRowHeight="15" x14ac:dyDescent="0.25"/>
  <cols>
    <col min="1" max="2" width="16.7109375" style="2" customWidth="1"/>
    <col min="3" max="6" width="16.7109375" style="12" customWidth="1"/>
    <col min="7" max="7" width="26.7109375" style="9" customWidth="1"/>
    <col min="8" max="8" width="19.7109375" style="12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10" t="s">
        <v>20</v>
      </c>
      <c r="F1" s="10" t="s">
        <v>19</v>
      </c>
      <c r="G1" s="7" t="s">
        <v>4</v>
      </c>
      <c r="H1" s="37" t="s">
        <v>10</v>
      </c>
      <c r="I1" s="3" t="s">
        <v>5</v>
      </c>
      <c r="J1" s="4" t="s">
        <v>9</v>
      </c>
    </row>
    <row r="2" spans="1:10" x14ac:dyDescent="0.25">
      <c r="A2" s="1">
        <v>6530</v>
      </c>
      <c r="B2" s="6"/>
      <c r="C2" s="11" t="str">
        <f>IF($A2&lt;&gt;"",IFERROR(VLOOKUP($A2,#REF!,14,FALSE),""),"")</f>
        <v/>
      </c>
      <c r="D2" s="11" t="str">
        <f>IF($A2&lt;&gt;"",IFERROR(VLOOKUP($A2,#REF!,20,FALSE),""),"")</f>
        <v/>
      </c>
      <c r="E2" s="11" t="str">
        <f>IF($A2&lt;&gt;"",IFERROR(VLOOKUP($A2,#REF!,24,FALSE),""),"")</f>
        <v/>
      </c>
      <c r="F2" s="11" t="str">
        <f>IF($A2&lt;&gt;"",IFERROR(VLOOKUP($A2,#REF!,25,FALSE),""),"")</f>
        <v/>
      </c>
      <c r="G2" s="8" t="str">
        <f>IF($A2&lt;&gt;"",IFERROR(VLOOKUP($A2,#REF!,21,FALSE),""),"")</f>
        <v/>
      </c>
      <c r="H2" s="38" t="str">
        <f>IF($A2&lt;&gt;"",IFERROR(VLOOKUP($A2,#REF!,26,FALSE),""),"")</f>
        <v/>
      </c>
      <c r="I2" s="5"/>
    </row>
    <row r="3" spans="1:10" x14ac:dyDescent="0.25">
      <c r="A3" s="1">
        <v>6532</v>
      </c>
      <c r="B3" s="6"/>
      <c r="C3" s="11" t="str">
        <f>IF($A3&lt;&gt;"",IFERROR(VLOOKUP($A3,#REF!,14,FALSE),""),"")</f>
        <v/>
      </c>
      <c r="D3" s="11" t="str">
        <f>IF($A3&lt;&gt;"",IFERROR(VLOOKUP($A3,#REF!,20,FALSE),""),"")</f>
        <v/>
      </c>
      <c r="E3" s="11" t="str">
        <f>IF($A3&lt;&gt;"",IFERROR(VLOOKUP($A3,#REF!,24,FALSE),""),"")</f>
        <v/>
      </c>
      <c r="F3" s="11" t="str">
        <f>IF($A3&lt;&gt;"",IFERROR(VLOOKUP($A3,#REF!,25,FALSE),""),"")</f>
        <v/>
      </c>
      <c r="G3" s="8" t="str">
        <f>IF($A3&lt;&gt;"",IFERROR(VLOOKUP($A3,#REF!,21,FALSE),""),"")</f>
        <v/>
      </c>
      <c r="H3" s="38" t="str">
        <f>IF($A3&lt;&gt;"",IFERROR(VLOOKUP($A3,#REF!,26,FALSE),""),"")</f>
        <v/>
      </c>
      <c r="I3" s="5"/>
    </row>
    <row r="4" spans="1:10" x14ac:dyDescent="0.25">
      <c r="A4" s="1" t="s">
        <v>42</v>
      </c>
      <c r="B4" s="6"/>
      <c r="C4" s="11" t="str">
        <f>IF($A4&lt;&gt;"",IFERROR(VLOOKUP($A4,#REF!,14,FALSE),""),"")</f>
        <v/>
      </c>
      <c r="D4" s="11" t="str">
        <f>IF($A4&lt;&gt;"",IFERROR(VLOOKUP($A4,#REF!,20,FALSE),""),"")</f>
        <v/>
      </c>
      <c r="E4" s="11" t="str">
        <f>IF($A4&lt;&gt;"",IFERROR(VLOOKUP($A4,#REF!,24,FALSE),""),"")</f>
        <v/>
      </c>
      <c r="F4" s="11" t="str">
        <f>IF($A4&lt;&gt;"",IFERROR(VLOOKUP($A4,#REF!,25,FALSE),""),"")</f>
        <v/>
      </c>
      <c r="G4" s="8" t="str">
        <f>IF($A4&lt;&gt;"",IFERROR(VLOOKUP($A4,#REF!,21,FALSE),""),"")</f>
        <v/>
      </c>
      <c r="H4" s="38" t="str">
        <f>IF($A4&lt;&gt;"",IFERROR(VLOOKUP($A4,#REF!,26,FALSE),""),"")</f>
        <v/>
      </c>
      <c r="I4" s="5"/>
    </row>
    <row r="5" spans="1:10" x14ac:dyDescent="0.25">
      <c r="A5" s="1"/>
      <c r="B5" s="6"/>
      <c r="C5" s="11" t="str">
        <f>IF($A5&lt;&gt;"",IFERROR(VLOOKUP($A5,#REF!,14,FALSE),""),"")</f>
        <v/>
      </c>
      <c r="D5" s="11" t="str">
        <f>IF($A5&lt;&gt;"",IFERROR(VLOOKUP($A5,#REF!,20,FALSE),""),"")</f>
        <v/>
      </c>
      <c r="E5" s="11" t="str">
        <f>IF($A5&lt;&gt;"",IFERROR(VLOOKUP($A5,#REF!,24,FALSE),""),"")</f>
        <v/>
      </c>
      <c r="F5" s="11" t="str">
        <f>IF($A5&lt;&gt;"",IFERROR(VLOOKUP($A5,#REF!,25,FALSE),""),"")</f>
        <v/>
      </c>
      <c r="G5" s="8" t="str">
        <f>IF($A5&lt;&gt;"",IFERROR(VLOOKUP($A5,#REF!,21,FALSE),""),"")</f>
        <v/>
      </c>
      <c r="H5" s="38" t="str">
        <f>IF($A5&lt;&gt;"",IFERROR(VLOOKUP($A5,#REF!,26,FALSE),""),"")</f>
        <v/>
      </c>
      <c r="I5" s="5"/>
    </row>
    <row r="6" spans="1:10" x14ac:dyDescent="0.25">
      <c r="A6" s="1"/>
      <c r="B6" s="6"/>
      <c r="C6" s="11" t="str">
        <f>IF($A6&lt;&gt;"",IFERROR(VLOOKUP($A6,#REF!,14,FALSE),""),"")</f>
        <v/>
      </c>
      <c r="D6" s="11" t="str">
        <f>IF($A6&lt;&gt;"",IFERROR(VLOOKUP($A6,#REF!,20,FALSE),""),"")</f>
        <v/>
      </c>
      <c r="E6" s="11" t="str">
        <f>IF($A6&lt;&gt;"",IFERROR(VLOOKUP($A6,#REF!,24,FALSE),""),"")</f>
        <v/>
      </c>
      <c r="F6" s="11" t="str">
        <f>IF($A6&lt;&gt;"",IFERROR(VLOOKUP($A6,#REF!,25,FALSE),""),"")</f>
        <v/>
      </c>
      <c r="G6" s="8" t="str">
        <f>IF($A6&lt;&gt;"",IFERROR(VLOOKUP($A6,#REF!,21,FALSE),""),"")</f>
        <v/>
      </c>
      <c r="H6" s="38" t="str">
        <f>IF($A6&lt;&gt;"",IFERROR(VLOOKUP($A6,#REF!,26,FALSE),""),"")</f>
        <v/>
      </c>
      <c r="I6" s="5"/>
    </row>
    <row r="7" spans="1:10" x14ac:dyDescent="0.25">
      <c r="A7" s="1"/>
      <c r="B7" s="6"/>
      <c r="C7" s="11" t="str">
        <f>IF($A7&lt;&gt;"",IFERROR(VLOOKUP($A7,#REF!,14,FALSE),""),"")</f>
        <v/>
      </c>
      <c r="D7" s="11" t="str">
        <f>IF($A7&lt;&gt;"",IFERROR(VLOOKUP($A7,#REF!,20,FALSE),""),"")</f>
        <v/>
      </c>
      <c r="E7" s="11" t="str">
        <f>IF($A7&lt;&gt;"",IFERROR(VLOOKUP($A7,#REF!,24,FALSE),""),"")</f>
        <v/>
      </c>
      <c r="F7" s="11" t="str">
        <f>IF($A7&lt;&gt;"",IFERROR(VLOOKUP($A7,#REF!,25,FALSE),""),"")</f>
        <v/>
      </c>
      <c r="G7" s="8" t="str">
        <f>IF($A7&lt;&gt;"",IFERROR(VLOOKUP($A7,#REF!,21,FALSE),""),"")</f>
        <v/>
      </c>
      <c r="H7" s="38" t="str">
        <f>IF($A7&lt;&gt;"",IFERROR(VLOOKUP($A7,#REF!,26,FALSE),""),"")</f>
        <v/>
      </c>
      <c r="I7" s="5"/>
    </row>
    <row r="8" spans="1:10" x14ac:dyDescent="0.25">
      <c r="A8" s="1"/>
      <c r="B8" s="6"/>
      <c r="C8" s="11" t="str">
        <f>IF($A8&lt;&gt;"",IFERROR(VLOOKUP($A8,#REF!,14,FALSE),""),"")</f>
        <v/>
      </c>
      <c r="D8" s="11" t="str">
        <f>IF($A8&lt;&gt;"",IFERROR(VLOOKUP($A8,#REF!,20,FALSE),""),"")</f>
        <v/>
      </c>
      <c r="E8" s="11" t="str">
        <f>IF($A8&lt;&gt;"",IFERROR(VLOOKUP($A8,#REF!,24,FALSE),""),"")</f>
        <v/>
      </c>
      <c r="F8" s="11" t="str">
        <f>IF($A8&lt;&gt;"",IFERROR(VLOOKUP($A8,#REF!,25,FALSE),""),"")</f>
        <v/>
      </c>
      <c r="G8" s="8" t="str">
        <f>IF($A8&lt;&gt;"",IFERROR(VLOOKUP($A8,#REF!,21,FALSE),""),"")</f>
        <v/>
      </c>
      <c r="H8" s="38" t="str">
        <f>IF($A8&lt;&gt;"",IFERROR(VLOOKUP($A8,#REF!,26,FALSE),""),"")</f>
        <v/>
      </c>
      <c r="I8" s="5"/>
    </row>
    <row r="9" spans="1:10" x14ac:dyDescent="0.25">
      <c r="A9" s="1"/>
      <c r="B9" s="6"/>
      <c r="C9" s="11" t="str">
        <f>IF($A9&lt;&gt;"",IFERROR(VLOOKUP($A9,#REF!,14,FALSE),""),"")</f>
        <v/>
      </c>
      <c r="D9" s="11" t="str">
        <f>IF($A9&lt;&gt;"",IFERROR(VLOOKUP($A9,#REF!,20,FALSE),""),"")</f>
        <v/>
      </c>
      <c r="E9" s="11" t="str">
        <f>IF($A9&lt;&gt;"",IFERROR(VLOOKUP($A9,#REF!,24,FALSE),""),"")</f>
        <v/>
      </c>
      <c r="F9" s="11" t="str">
        <f>IF($A9&lt;&gt;"",IFERROR(VLOOKUP($A9,#REF!,25,FALSE),""),"")</f>
        <v/>
      </c>
      <c r="G9" s="8" t="str">
        <f>IF($A9&lt;&gt;"",IFERROR(VLOOKUP($A9,#REF!,21,FALSE),""),"")</f>
        <v/>
      </c>
      <c r="H9" s="38" t="str">
        <f>IF($A9&lt;&gt;"",IFERROR(VLOOKUP($A9,#REF!,26,FALSE),""),"")</f>
        <v/>
      </c>
      <c r="I9" s="5"/>
    </row>
    <row r="10" spans="1:10" x14ac:dyDescent="0.25">
      <c r="A10" s="1"/>
      <c r="B10" s="6"/>
      <c r="C10" s="11" t="str">
        <f>IF($A10&lt;&gt;"",IFERROR(VLOOKUP($A10,#REF!,14,FALSE),""),"")</f>
        <v/>
      </c>
      <c r="D10" s="11" t="str">
        <f>IF($A10&lt;&gt;"",IFERROR(VLOOKUP($A10,#REF!,20,FALSE),""),"")</f>
        <v/>
      </c>
      <c r="E10" s="11" t="str">
        <f>IF($A10&lt;&gt;"",IFERROR(VLOOKUP($A10,#REF!,24,FALSE),""),"")</f>
        <v/>
      </c>
      <c r="F10" s="11" t="str">
        <f>IF($A10&lt;&gt;"",IFERROR(VLOOKUP($A10,#REF!,25,FALSE),""),"")</f>
        <v/>
      </c>
      <c r="G10" s="8" t="str">
        <f>IF($A10&lt;&gt;"",IFERROR(VLOOKUP($A10,#REF!,21,FALSE),""),"")</f>
        <v/>
      </c>
      <c r="H10" s="38" t="str">
        <f>IF($A10&lt;&gt;"",IFERROR(VLOOKUP($A10,#REF!,26,FALSE),""),"")</f>
        <v/>
      </c>
      <c r="I10" s="5"/>
    </row>
    <row r="11" spans="1:10" x14ac:dyDescent="0.25">
      <c r="A11" s="1"/>
      <c r="B11" s="6"/>
      <c r="C11" s="11" t="str">
        <f>IF($A11&lt;&gt;"",IFERROR(VLOOKUP($A11,#REF!,14,FALSE),""),"")</f>
        <v/>
      </c>
      <c r="D11" s="11" t="str">
        <f>IF($A11&lt;&gt;"",IFERROR(VLOOKUP($A11,#REF!,20,FALSE),""),"")</f>
        <v/>
      </c>
      <c r="E11" s="11" t="str">
        <f>IF($A11&lt;&gt;"",IFERROR(VLOOKUP($A11,#REF!,24,FALSE),""),"")</f>
        <v/>
      </c>
      <c r="F11" s="11" t="str">
        <f>IF($A11&lt;&gt;"",IFERROR(VLOOKUP($A11,#REF!,25,FALSE),""),"")</f>
        <v/>
      </c>
      <c r="G11" s="8" t="str">
        <f>IF($A11&lt;&gt;"",IFERROR(VLOOKUP($A11,#REF!,21,FALSE),""),"")</f>
        <v/>
      </c>
      <c r="H11" s="38" t="str">
        <f>IF($A11&lt;&gt;"",IFERROR(VLOOKUP($A11,#REF!,26,FALSE),""),"")</f>
        <v/>
      </c>
      <c r="I11" s="5"/>
    </row>
    <row r="12" spans="1:10" x14ac:dyDescent="0.25">
      <c r="A12" s="1"/>
      <c r="B12" s="6"/>
      <c r="C12" s="11" t="str">
        <f>IF($A12&lt;&gt;"",IFERROR(VLOOKUP($A12,#REF!,14,FALSE),""),"")</f>
        <v/>
      </c>
      <c r="D12" s="11" t="str">
        <f>IF($A12&lt;&gt;"",IFERROR(VLOOKUP($A12,#REF!,20,FALSE),""),"")</f>
        <v/>
      </c>
      <c r="E12" s="11" t="str">
        <f>IF($A12&lt;&gt;"",IFERROR(VLOOKUP($A12,#REF!,24,FALSE),""),"")</f>
        <v/>
      </c>
      <c r="F12" s="11" t="str">
        <f>IF($A12&lt;&gt;"",IFERROR(VLOOKUP($A12,#REF!,25,FALSE),""),"")</f>
        <v/>
      </c>
      <c r="G12" s="8" t="str">
        <f>IF($A12&lt;&gt;"",IFERROR(VLOOKUP($A12,#REF!,21,FALSE),""),"")</f>
        <v/>
      </c>
      <c r="H12" s="38" t="str">
        <f>IF($A12&lt;&gt;"",IFERROR(VLOOKUP($A12,#REF!,26,FALSE),""),"")</f>
        <v/>
      </c>
      <c r="I12" s="5"/>
    </row>
    <row r="13" spans="1:10" x14ac:dyDescent="0.25">
      <c r="A13" s="1"/>
      <c r="B13" s="6"/>
      <c r="C13" s="11" t="str">
        <f>IF($A13&lt;&gt;"",IFERROR(VLOOKUP($A13,#REF!,14,FALSE),""),"")</f>
        <v/>
      </c>
      <c r="D13" s="11" t="str">
        <f>IF($A13&lt;&gt;"",IFERROR(VLOOKUP($A13,#REF!,20,FALSE),""),"")</f>
        <v/>
      </c>
      <c r="E13" s="11" t="str">
        <f>IF($A13&lt;&gt;"",IFERROR(VLOOKUP($A13,#REF!,24,FALSE),""),"")</f>
        <v/>
      </c>
      <c r="F13" s="11" t="str">
        <f>IF($A13&lt;&gt;"",IFERROR(VLOOKUP($A13,#REF!,25,FALSE),""),"")</f>
        <v/>
      </c>
      <c r="G13" s="8" t="str">
        <f>IF($A13&lt;&gt;"",IFERROR(VLOOKUP($A13,#REF!,21,FALSE),""),"")</f>
        <v/>
      </c>
      <c r="H13" s="38" t="str">
        <f>IF($A13&lt;&gt;"",IFERROR(VLOOKUP($A13,#REF!,26,FALSE),""),"")</f>
        <v/>
      </c>
      <c r="I13" s="5"/>
    </row>
    <row r="14" spans="1:10" x14ac:dyDescent="0.25">
      <c r="A14" s="1"/>
      <c r="B14" s="6"/>
      <c r="C14" s="11" t="str">
        <f>IF($A14&lt;&gt;"",IFERROR(VLOOKUP($A14,#REF!,14,FALSE),""),"")</f>
        <v/>
      </c>
      <c r="D14" s="11" t="str">
        <f>IF($A14&lt;&gt;"",IFERROR(VLOOKUP($A14,#REF!,20,FALSE),""),"")</f>
        <v/>
      </c>
      <c r="E14" s="11" t="str">
        <f>IF($A14&lt;&gt;"",IFERROR(VLOOKUP($A14,#REF!,24,FALSE),""),"")</f>
        <v/>
      </c>
      <c r="F14" s="11" t="str">
        <f>IF($A14&lt;&gt;"",IFERROR(VLOOKUP($A14,#REF!,25,FALSE),""),"")</f>
        <v/>
      </c>
      <c r="G14" s="8" t="str">
        <f>IF($A14&lt;&gt;"",IFERROR(VLOOKUP($A14,#REF!,21,FALSE),""),"")</f>
        <v/>
      </c>
      <c r="H14" s="38" t="str">
        <f>IF($A14&lt;&gt;"",IFERROR(VLOOKUP($A14,#REF!,26,FALSE),""),"")</f>
        <v/>
      </c>
      <c r="I14" s="5"/>
    </row>
    <row r="15" spans="1:10" x14ac:dyDescent="0.25">
      <c r="A15" s="1"/>
      <c r="B15" s="6"/>
      <c r="C15" s="11" t="str">
        <f>IF($A15&lt;&gt;"",IFERROR(VLOOKUP($A15,#REF!,14,FALSE),""),"")</f>
        <v/>
      </c>
      <c r="D15" s="11" t="str">
        <f>IF($A15&lt;&gt;"",IFERROR(VLOOKUP($A15,#REF!,20,FALSE),""),"")</f>
        <v/>
      </c>
      <c r="E15" s="11" t="str">
        <f>IF($A15&lt;&gt;"",IFERROR(VLOOKUP($A15,#REF!,24,FALSE),""),"")</f>
        <v/>
      </c>
      <c r="F15" s="11" t="str">
        <f>IF($A15&lt;&gt;"",IFERROR(VLOOKUP($A15,#REF!,25,FALSE),""),"")</f>
        <v/>
      </c>
      <c r="G15" s="8" t="str">
        <f>IF($A15&lt;&gt;"",IFERROR(VLOOKUP($A15,#REF!,21,FALSE),""),"")</f>
        <v/>
      </c>
      <c r="H15" s="38" t="str">
        <f>IF($A15&lt;&gt;"",IFERROR(VLOOKUP($A15,#REF!,26,FALSE),""),"")</f>
        <v/>
      </c>
      <c r="I15" s="5"/>
    </row>
    <row r="16" spans="1:10" x14ac:dyDescent="0.25">
      <c r="A16" s="1"/>
      <c r="B16" s="6"/>
      <c r="C16" s="11" t="str">
        <f>IF($A16&lt;&gt;"",IFERROR(VLOOKUP($A16,#REF!,14,FALSE),""),"")</f>
        <v/>
      </c>
      <c r="D16" s="11" t="str">
        <f>IF($A16&lt;&gt;"",IFERROR(VLOOKUP($A16,#REF!,20,FALSE),""),"")</f>
        <v/>
      </c>
      <c r="E16" s="11" t="str">
        <f>IF($A16&lt;&gt;"",IFERROR(VLOOKUP($A16,#REF!,24,FALSE),""),"")</f>
        <v/>
      </c>
      <c r="F16" s="11" t="str">
        <f>IF($A16&lt;&gt;"",IFERROR(VLOOKUP($A16,#REF!,25,FALSE),""),"")</f>
        <v/>
      </c>
      <c r="G16" s="8" t="str">
        <f>IF($A16&lt;&gt;"",IFERROR(VLOOKUP($A16,#REF!,21,FALSE),""),"")</f>
        <v/>
      </c>
      <c r="H16" s="38" t="str">
        <f>IF($A16&lt;&gt;"",IFERROR(VLOOKUP($A16,#REF!,26,FALSE),""),"")</f>
        <v/>
      </c>
      <c r="I16" s="5"/>
    </row>
    <row r="17" spans="1:9" x14ac:dyDescent="0.25">
      <c r="A17" s="1"/>
      <c r="B17" s="6"/>
      <c r="C17" s="11" t="str">
        <f>IF($A17&lt;&gt;"",IFERROR(VLOOKUP($A17,#REF!,14,FALSE),""),"")</f>
        <v/>
      </c>
      <c r="D17" s="11" t="str">
        <f>IF($A17&lt;&gt;"",IFERROR(VLOOKUP($A17,#REF!,20,FALSE),""),"")</f>
        <v/>
      </c>
      <c r="E17" s="11" t="str">
        <f>IF($A17&lt;&gt;"",IFERROR(VLOOKUP($A17,#REF!,24,FALSE),""),"")</f>
        <v/>
      </c>
      <c r="F17" s="11" t="str">
        <f>IF($A17&lt;&gt;"",IFERROR(VLOOKUP($A17,#REF!,25,FALSE),""),"")</f>
        <v/>
      </c>
      <c r="G17" s="8" t="str">
        <f>IF($A17&lt;&gt;"",IFERROR(VLOOKUP($A17,#REF!,21,FALSE),""),"")</f>
        <v/>
      </c>
      <c r="H17" s="38" t="str">
        <f>IF($A17&lt;&gt;"",IFERROR(VLOOKUP($A17,#REF!,26,FALSE),""),"")</f>
        <v/>
      </c>
      <c r="I17" s="5"/>
    </row>
    <row r="18" spans="1:9" x14ac:dyDescent="0.25">
      <c r="A18" s="1"/>
      <c r="B18" s="6"/>
      <c r="C18" s="11" t="str">
        <f>IF($A18&lt;&gt;"",IFERROR(VLOOKUP($A18,#REF!,14,FALSE),""),"")</f>
        <v/>
      </c>
      <c r="D18" s="11" t="str">
        <f>IF($A18&lt;&gt;"",IFERROR(VLOOKUP($A18,#REF!,20,FALSE),""),"")</f>
        <v/>
      </c>
      <c r="E18" s="11" t="str">
        <f>IF($A18&lt;&gt;"",IFERROR(VLOOKUP($A18,#REF!,24,FALSE),""),"")</f>
        <v/>
      </c>
      <c r="F18" s="11" t="str">
        <f>IF($A18&lt;&gt;"",IFERROR(VLOOKUP($A18,#REF!,25,FALSE),""),"")</f>
        <v/>
      </c>
      <c r="G18" s="8" t="str">
        <f>IF($A18&lt;&gt;"",IFERROR(VLOOKUP($A18,#REF!,21,FALSE),""),"")</f>
        <v/>
      </c>
      <c r="H18" s="38" t="str">
        <f>IF($A18&lt;&gt;"",IFERROR(VLOOKUP($A18,#REF!,26,FALSE),""),"")</f>
        <v/>
      </c>
      <c r="I18" s="5"/>
    </row>
    <row r="19" spans="1:9" x14ac:dyDescent="0.25">
      <c r="A19" s="1"/>
      <c r="B19" s="6"/>
      <c r="C19" s="11" t="str">
        <f>IF($A19&lt;&gt;"",IFERROR(VLOOKUP($A19,#REF!,14,FALSE),""),"")</f>
        <v/>
      </c>
      <c r="D19" s="11" t="str">
        <f>IF($A19&lt;&gt;"",IFERROR(VLOOKUP($A19,#REF!,20,FALSE),""),"")</f>
        <v/>
      </c>
      <c r="E19" s="11" t="str">
        <f>IF($A19&lt;&gt;"",IFERROR(VLOOKUP($A19,#REF!,24,FALSE),""),"")</f>
        <v/>
      </c>
      <c r="F19" s="11" t="str">
        <f>IF($A19&lt;&gt;"",IFERROR(VLOOKUP($A19,#REF!,25,FALSE),""),"")</f>
        <v/>
      </c>
      <c r="G19" s="8" t="str">
        <f>IF($A19&lt;&gt;"",IFERROR(VLOOKUP($A19,#REF!,21,FALSE),""),"")</f>
        <v/>
      </c>
      <c r="H19" s="38" t="str">
        <f>IF($A19&lt;&gt;"",IFERROR(VLOOKUP($A19,#REF!,26,FALSE),""),"")</f>
        <v/>
      </c>
      <c r="I19" s="5"/>
    </row>
    <row r="20" spans="1:9" x14ac:dyDescent="0.25">
      <c r="A20" s="1"/>
      <c r="B20" s="6"/>
      <c r="C20" s="11" t="str">
        <f>IF($A20&lt;&gt;"",IFERROR(VLOOKUP($A20,#REF!,14,FALSE),""),"")</f>
        <v/>
      </c>
      <c r="D20" s="11" t="str">
        <f>IF($A20&lt;&gt;"",IFERROR(VLOOKUP($A20,#REF!,20,FALSE),""),"")</f>
        <v/>
      </c>
      <c r="E20" s="11" t="str">
        <f>IF($A20&lt;&gt;"",IFERROR(VLOOKUP($A20,#REF!,24,FALSE),""),"")</f>
        <v/>
      </c>
      <c r="F20" s="11" t="str">
        <f>IF($A20&lt;&gt;"",IFERROR(VLOOKUP($A20,#REF!,25,FALSE),""),"")</f>
        <v/>
      </c>
      <c r="G20" s="8" t="str">
        <f>IF($A20&lt;&gt;"",IFERROR(VLOOKUP($A20,#REF!,21,FALSE),""),"")</f>
        <v/>
      </c>
      <c r="H20" s="38" t="str">
        <f>IF($A20&lt;&gt;"",IFERROR(VLOOKUP($A20,#REF!,26,FALSE),""),"")</f>
        <v/>
      </c>
      <c r="I20" s="5"/>
    </row>
    <row r="21" spans="1:9" x14ac:dyDescent="0.25">
      <c r="A21" s="1"/>
      <c r="B21" s="6"/>
      <c r="C21" s="11" t="str">
        <f>IF($A21&lt;&gt;"",IFERROR(VLOOKUP($A21,#REF!,14,FALSE),""),"")</f>
        <v/>
      </c>
      <c r="D21" s="11" t="str">
        <f>IF($A21&lt;&gt;"",IFERROR(VLOOKUP($A21,#REF!,20,FALSE),""),"")</f>
        <v/>
      </c>
      <c r="E21" s="11" t="str">
        <f>IF($A21&lt;&gt;"",IFERROR(VLOOKUP($A21,#REF!,24,FALSE),""),"")</f>
        <v/>
      </c>
      <c r="F21" s="11" t="str">
        <f>IF($A21&lt;&gt;"",IFERROR(VLOOKUP($A21,#REF!,25,FALSE),""),"")</f>
        <v/>
      </c>
      <c r="G21" s="8" t="str">
        <f>IF($A21&lt;&gt;"",IFERROR(VLOOKUP($A21,#REF!,21,FALSE),""),"")</f>
        <v/>
      </c>
      <c r="H21" s="38" t="str">
        <f>IF($A21&lt;&gt;"",IFERROR(VLOOKUP($A21,#REF!,26,FALSE),""),"")</f>
        <v/>
      </c>
      <c r="I21" s="5"/>
    </row>
    <row r="22" spans="1:9" x14ac:dyDescent="0.25">
      <c r="A22" s="1"/>
      <c r="B22" s="6"/>
      <c r="C22" s="11" t="str">
        <f>IF($A22&lt;&gt;"",IFERROR(VLOOKUP($A22,#REF!,14,FALSE),""),"")</f>
        <v/>
      </c>
      <c r="D22" s="11" t="str">
        <f>IF($A22&lt;&gt;"",IFERROR(VLOOKUP($A22,#REF!,20,FALSE),""),"")</f>
        <v/>
      </c>
      <c r="E22" s="11" t="str">
        <f>IF($A22&lt;&gt;"",IFERROR(VLOOKUP($A22,#REF!,24,FALSE),""),"")</f>
        <v/>
      </c>
      <c r="F22" s="11" t="str">
        <f>IF($A22&lt;&gt;"",IFERROR(VLOOKUP($A22,#REF!,25,FALSE),""),"")</f>
        <v/>
      </c>
      <c r="G22" s="8" t="str">
        <f>IF($A22&lt;&gt;"",IFERROR(VLOOKUP($A22,#REF!,21,FALSE),""),"")</f>
        <v/>
      </c>
      <c r="H22" s="38" t="str">
        <f>IF($A22&lt;&gt;"",IFERROR(VLOOKUP($A22,#REF!,26,FALSE),""),"")</f>
        <v/>
      </c>
      <c r="I22" s="5"/>
    </row>
  </sheetData>
  <sheetProtection algorithmName="SHA-512" hashValue="Rr3/y4rA7Wqi/V7fDxAA8TADJzeEnl7lAO7YA9AxUj3K99i861neYuFBc6wkak6+S3NC2mzFXXuHyWRJygDZsg==" saltValue="keyCXA2/dRh3m896SJClxg==" spinCount="100000" sheet="1" objects="1" scenarios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zoomScale="77" zoomScaleNormal="77" zoomScaleSheetLayoutView="80" workbookViewId="0">
      <selection activeCell="J4" sqref="J4"/>
    </sheetView>
  </sheetViews>
  <sheetFormatPr baseColWidth="10" defaultRowHeight="15" x14ac:dyDescent="0.25"/>
  <cols>
    <col min="1" max="1" width="14.28515625" style="2" customWidth="1"/>
    <col min="2" max="2" width="18.2851562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7109375" style="12" customWidth="1"/>
    <col min="9" max="9" width="20" style="9" customWidth="1"/>
    <col min="10" max="11" width="5.5703125" style="2" customWidth="1"/>
    <col min="12" max="13" width="6" style="24" customWidth="1"/>
    <col min="14" max="14" width="20.140625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3.57031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9.7109375" style="2" customWidth="1"/>
    <col min="25" max="25" width="9.5703125" style="2" customWidth="1"/>
    <col min="26" max="26" width="12.28515625" style="12" customWidth="1"/>
    <col min="27" max="27" width="12.5703125" style="12" customWidth="1"/>
    <col min="28" max="16384" width="11.42578125" style="2"/>
  </cols>
  <sheetData>
    <row r="1" spans="1:30" ht="34.5" customHeight="1" x14ac:dyDescent="0.25">
      <c r="A1" s="41"/>
      <c r="B1" s="41"/>
      <c r="C1" s="41"/>
      <c r="D1" s="42" t="s">
        <v>29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38</v>
      </c>
      <c r="V1" s="44"/>
      <c r="W1" s="44"/>
      <c r="X1" s="44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30</v>
      </c>
      <c r="G2" s="32" t="s">
        <v>40</v>
      </c>
      <c r="H2" s="33"/>
      <c r="I2" s="34" t="s">
        <v>31</v>
      </c>
      <c r="J2" s="45" t="s">
        <v>41</v>
      </c>
      <c r="K2" s="45"/>
      <c r="L2" s="21"/>
      <c r="M2" s="21"/>
      <c r="N2" s="35" t="s">
        <v>32</v>
      </c>
      <c r="O2" s="36" t="s">
        <v>33</v>
      </c>
      <c r="R2" s="21"/>
      <c r="S2" s="21"/>
      <c r="Z2" s="39"/>
      <c r="AA2" s="39"/>
    </row>
    <row r="3" spans="1:30" ht="42" customHeight="1" x14ac:dyDescent="0.25">
      <c r="A3" s="3" t="s">
        <v>35</v>
      </c>
      <c r="B3" s="13" t="s">
        <v>34</v>
      </c>
      <c r="C3" s="7" t="s">
        <v>18</v>
      </c>
      <c r="D3" s="14" t="s">
        <v>21</v>
      </c>
      <c r="E3" s="14" t="s">
        <v>22</v>
      </c>
      <c r="F3" s="22" t="s">
        <v>14</v>
      </c>
      <c r="G3" s="22" t="s">
        <v>23</v>
      </c>
      <c r="H3" s="13" t="s">
        <v>15</v>
      </c>
      <c r="I3" s="7" t="s">
        <v>12</v>
      </c>
      <c r="J3" s="14" t="s">
        <v>21</v>
      </c>
      <c r="K3" s="14" t="s">
        <v>22</v>
      </c>
      <c r="L3" s="22" t="s">
        <v>14</v>
      </c>
      <c r="M3" s="22" t="s">
        <v>23</v>
      </c>
      <c r="N3" s="13" t="s">
        <v>16</v>
      </c>
      <c r="O3" s="7" t="s">
        <v>13</v>
      </c>
      <c r="P3" s="14" t="s">
        <v>21</v>
      </c>
      <c r="Q3" s="14" t="s">
        <v>22</v>
      </c>
      <c r="R3" s="22" t="s">
        <v>14</v>
      </c>
      <c r="S3" s="22" t="s">
        <v>23</v>
      </c>
      <c r="T3" s="13" t="s">
        <v>36</v>
      </c>
      <c r="U3" s="7" t="s">
        <v>37</v>
      </c>
      <c r="V3" s="14" t="s">
        <v>21</v>
      </c>
      <c r="W3" s="14" t="s">
        <v>22</v>
      </c>
      <c r="X3" s="22" t="s">
        <v>14</v>
      </c>
      <c r="Y3" s="22" t="s">
        <v>23</v>
      </c>
      <c r="Z3" s="40" t="s">
        <v>27</v>
      </c>
      <c r="AA3" s="13" t="s">
        <v>17</v>
      </c>
      <c r="AB3" s="18" t="s">
        <v>25</v>
      </c>
      <c r="AC3" s="18" t="s">
        <v>26</v>
      </c>
      <c r="AD3" s="17" t="s">
        <v>24</v>
      </c>
    </row>
    <row r="4" spans="1:30" x14ac:dyDescent="0.25">
      <c r="A4" s="5">
        <f>IF(Pesos_Blancos!A2&lt;&gt;"",Pesos_Blancos!A2,"")</f>
        <v>6530</v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>
        <v>31.655999999999999</v>
      </c>
      <c r="O4" s="15">
        <v>44824.417928240742</v>
      </c>
      <c r="P4" s="1">
        <v>43.8</v>
      </c>
      <c r="Q4" s="1">
        <v>19.100000000000001</v>
      </c>
      <c r="R4" s="23">
        <f>IF(AND(AB4&lt;&gt;"",P4&lt;&gt;""),(P4-AB4),"")</f>
        <v>44.5</v>
      </c>
      <c r="S4" s="23">
        <f>IF(AND(AC4&lt;&gt;"",Q4&lt;&gt;""),(Q4-AC4),"")</f>
        <v>19.400000000000002</v>
      </c>
      <c r="T4" s="20">
        <v>31.664999999999999</v>
      </c>
      <c r="U4" s="15">
        <v>44824.576724537037</v>
      </c>
      <c r="V4" s="1">
        <v>44.1</v>
      </c>
      <c r="W4" s="1">
        <v>20.100000000000001</v>
      </c>
      <c r="X4" s="23">
        <f>IF(AND(AB4&lt;&gt;"",V4&lt;&gt;""),(V4-AB4),"")</f>
        <v>44.800000000000004</v>
      </c>
      <c r="Y4" s="23">
        <f>IF(AND(AC4&lt;&gt;"",W4&lt;&gt;""),(W4-AC4),"")</f>
        <v>20.400000000000002</v>
      </c>
      <c r="Z4" s="11">
        <f>IF(T4="","",IF(LEFT(Pesos_Blancos!A2,2)="QC",T4,IF(ABS((N4-T4))&lt;=0.01,(N4+T4)/2,"Error")))</f>
        <v>31.660499999999999</v>
      </c>
      <c r="AA4" s="11" t="str">
        <f>IF(A4="","",IF(LEFT(Pesos_Blancos!A2,2)="QC",T4,IF(OR(Pesos_Blancos!H2&gt;Z4,Z4="Error"),"Verifique",ABS(Pesos_Blancos!H2-Z4))))</f>
        <v>Verifique</v>
      </c>
      <c r="AB4" s="1">
        <v>-0.7</v>
      </c>
      <c r="AC4" s="1">
        <v>-0.3</v>
      </c>
      <c r="AD4" s="1" t="s">
        <v>39</v>
      </c>
    </row>
    <row r="5" spans="1:30" x14ac:dyDescent="0.25">
      <c r="A5" s="5">
        <f>IF(Pesos_Blancos!A3&lt;&gt;"",Pesos_Blancos!A3,"")</f>
        <v>6532</v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>
        <v>36.993000000000002</v>
      </c>
      <c r="O5" s="15">
        <v>44824.418483796297</v>
      </c>
      <c r="P5" s="1">
        <v>43.8</v>
      </c>
      <c r="Q5" s="1">
        <v>19.100000000000001</v>
      </c>
      <c r="R5" s="23">
        <f t="shared" ref="R5:R24" si="4">IF(AND(AB5&lt;&gt;"",P5&lt;&gt;""),(P5-AB5),"")</f>
        <v>44.5</v>
      </c>
      <c r="S5" s="23">
        <f t="shared" ref="S5:S24" si="5">IF(AND(AC5&lt;&gt;"",Q5&lt;&gt;""),(Q5-AC5),"")</f>
        <v>19.400000000000002</v>
      </c>
      <c r="T5" s="20">
        <v>36.984999999999999</v>
      </c>
      <c r="U5" s="15">
        <v>44824.577291666668</v>
      </c>
      <c r="V5" s="1">
        <v>44.1</v>
      </c>
      <c r="W5" s="1">
        <v>20.100000000000001</v>
      </c>
      <c r="X5" s="23">
        <f t="shared" ref="X5:X24" si="6">IF(AND(AB5&lt;&gt;"",V5&lt;&gt;""),(V5-AB5),"")</f>
        <v>44.800000000000004</v>
      </c>
      <c r="Y5" s="23">
        <f t="shared" ref="Y5:Y24" si="7">IF(AND(AC5&lt;&gt;"",W5&lt;&gt;""),(W5-AC5),"")</f>
        <v>20.400000000000002</v>
      </c>
      <c r="Z5" s="11">
        <f>IF(T5="","",IF(LEFT(Pesos_Blancos!A3,2)="QC",T5,IF(ABS((N5-T5))&lt;=0.01,(N5+T5)/2,"Error")))</f>
        <v>36.989000000000004</v>
      </c>
      <c r="AA5" s="11" t="str">
        <f>IF(A5="","",IF(LEFT(Pesos_Blancos!A3,2)="QC",T5,IF(OR(Pesos_Blancos!H3&gt;Z5,Z5="Error"),"Verifique",ABS(Pesos_Blancos!H3-Z5))))</f>
        <v>Verifique</v>
      </c>
      <c r="AB5" s="1">
        <v>-0.7</v>
      </c>
      <c r="AC5" s="1">
        <v>-0.3</v>
      </c>
      <c r="AD5" s="1" t="s">
        <v>39</v>
      </c>
    </row>
    <row r="6" spans="1:30" x14ac:dyDescent="0.25">
      <c r="A6" s="5" t="str">
        <f>IF(Pesos_Blancos!A4&lt;&gt;"",Pesos_Blancos!A4,"")</f>
        <v>QC 9</v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>
        <v>9.9920000000000009</v>
      </c>
      <c r="O6" s="15">
        <v>44824.419699074075</v>
      </c>
      <c r="P6" s="1">
        <v>43.3</v>
      </c>
      <c r="Q6" s="1">
        <v>19.100000000000001</v>
      </c>
      <c r="R6" s="23">
        <f t="shared" si="4"/>
        <v>44</v>
      </c>
      <c r="S6" s="23">
        <f t="shared" si="5"/>
        <v>19.400000000000002</v>
      </c>
      <c r="T6" s="20">
        <v>9.9930000000000003</v>
      </c>
      <c r="U6" s="15">
        <v>44824.578483796293</v>
      </c>
      <c r="V6" s="1">
        <v>43.3</v>
      </c>
      <c r="W6" s="1">
        <v>20.2</v>
      </c>
      <c r="X6" s="23">
        <f t="shared" si="6"/>
        <v>44</v>
      </c>
      <c r="Y6" s="23">
        <f t="shared" si="7"/>
        <v>20.5</v>
      </c>
      <c r="Z6" s="11">
        <f>IF(T6="","",IF(LEFT(Pesos_Blancos!A4,2)="QC",T6,IF(ABS((N6-T6))&lt;=0.01,(N6+T6)/2,"Error")))</f>
        <v>9.9930000000000003</v>
      </c>
      <c r="AA6" s="11">
        <f>IF(A6="","",IF(LEFT(Pesos_Blancos!A4,2)="QC",T6,IF(OR(Pesos_Blancos!H4&gt;Z6,Z6="Error"),"Verifique",ABS(Pesos_Blancos!H4-Z6))))</f>
        <v>9.9930000000000003</v>
      </c>
      <c r="AB6" s="1">
        <v>-0.7</v>
      </c>
      <c r="AC6" s="1">
        <v>-0.3</v>
      </c>
      <c r="AD6" s="1" t="s">
        <v>39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IF(T7="","",IF(LEFT(Pesos_Blancos!A5,2)="QC",T7,IF(ABS((N7-T7))&lt;=0.01,(N7+T7)/2,"Error")))</f>
        <v/>
      </c>
      <c r="AA7" s="11" t="str">
        <f>IF(A7="","",IF(LEFT(Pesos_Blancos!A5,2)="QC",T7,IF(OR(Pesos_Blancos!H5&gt;Z7,Z7="Error"),"Verifique",ABS(Pesos_Blancos!H5-Z7))))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IF(T8="","",IF(LEFT(Pesos_Blancos!A6,2)="QC",T8,IF(ABS((N8-T8))&lt;=0.01,(N8+T8)/2,"Error")))</f>
        <v/>
      </c>
      <c r="AA8" s="11" t="str">
        <f>IF(A8="","",IF(LEFT(Pesos_Blancos!A6,2)="QC",T8,IF(OR(Pesos_Blancos!H6&gt;Z8,Z8="Error"),"Verifique",ABS(Pesos_Blancos!H6-Z8))))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IF(T9="","",IF(LEFT(Pesos_Blancos!A7,2)="QC",T9,IF(ABS((N9-T9))&lt;=0.01,(N9+T9)/2,"Error")))</f>
        <v/>
      </c>
      <c r="AA9" s="11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IF(T10="","",IF(LEFT(Pesos_Blancos!A8,2)="QC",T10,IF(ABS((N10-T10))&lt;=0.01,(N10+T10)/2,"Error")))</f>
        <v/>
      </c>
      <c r="AA10" s="11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IF(T11="","",IF(LEFT(Pesos_Blancos!A9,2)="QC",T11,IF(ABS((N11-T11))&lt;=0.01,(N11+T11)/2,"Error")))</f>
        <v/>
      </c>
      <c r="AA11" s="11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IF(T12="","",IF(LEFT(Pesos_Blancos!A10,2)="QC",T12,IF(ABS((N12-T12))&lt;=0.01,(N12+T12)/2,"Error")))</f>
        <v/>
      </c>
      <c r="AA12" s="11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IF(T13="","",IF(LEFT(Pesos_Blancos!A11,2)="QC",T13,IF(ABS((N13-T13))&lt;=0.01,(N13+T13)/2,"Error")))</f>
        <v/>
      </c>
      <c r="AA13" s="11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IF(T14="","",IF(LEFT(Pesos_Blancos!A12,2)="QC",T14,IF(ABS((N14-T14))&lt;=0.01,(N14+T14)/2,"Error")))</f>
        <v/>
      </c>
      <c r="AA14" s="11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IF(T15="","",IF(LEFT(Pesos_Blancos!A13,2)="QC",T15,IF(ABS((N15-T15))&lt;=0.01,(N15+T15)/2,"Error")))</f>
        <v/>
      </c>
      <c r="AA15" s="11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IF(T16="","",IF(LEFT(Pesos_Blancos!A14,2)="QC",T16,IF(ABS((N16-T16))&lt;=0.01,(N16+T16)/2,"Error")))</f>
        <v/>
      </c>
      <c r="AA16" s="11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IF(T17="","",IF(LEFT(Pesos_Blancos!A15,2)="QC",T17,IF(ABS((N17-T17))&lt;=0.01,(N17+T17)/2,"Error")))</f>
        <v/>
      </c>
      <c r="AA17" s="11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IF(T18="","",IF(LEFT(Pesos_Blancos!A16,2)="QC",T18,IF(ABS((N18-T18))&lt;=0.01,(N18+T18)/2,"Error")))</f>
        <v/>
      </c>
      <c r="AA18" s="11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IF(T19="","",IF(LEFT(Pesos_Blancos!A17,2)="QC",T19,IF(ABS((N19-T19))&lt;=0.01,(N19+T19)/2,"Error")))</f>
        <v/>
      </c>
      <c r="AA19" s="11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IF(T20="","",IF(LEFT(Pesos_Blancos!A18,2)="QC",T20,IF(ABS((N20-T20))&lt;=0.01,(N20+T20)/2,"Error")))</f>
        <v/>
      </c>
      <c r="AA20" s="11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IF(T21="","",IF(LEFT(Pesos_Blancos!A19,2)="QC",T21,IF(ABS((N21-T21))&lt;=0.01,(N21+T21)/2,"Error")))</f>
        <v/>
      </c>
      <c r="AA21" s="11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IF(T22="","",IF(LEFT(Pesos_Blancos!A20,2)="QC",T22,IF(ABS((N22-T22))&lt;=0.01,(N22+T22)/2,"Error")))</f>
        <v/>
      </c>
      <c r="AA22" s="11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IF(T23="","",IF(LEFT(Pesos_Blancos!A21,2)="QC",T23,IF(ABS((N23-T23))&lt;=0.01,(N23+T23)/2,"Error")))</f>
        <v/>
      </c>
      <c r="AA23" s="11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IF(T24="","",IF(LEFT(Pesos_Blancos!A22,2)="QC",T24,IF(ABS((N24-T24))&lt;=0.01,(N24+T24)/2,"Error")))</f>
        <v/>
      </c>
      <c r="AA24" s="11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V74+q1N0wH+Gvo9bkdUBj84R+llz7LlPwylLI0mdxYNrvmPVYlvq4705iJH6sRJFfN9fudLbG21bqGVbmUpJWg==" saltValue="XUG/rpmr34LvFpUZz8vYj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11</v>
      </c>
      <c r="D1" s="14" t="s">
        <v>20</v>
      </c>
      <c r="E1" s="14" t="s">
        <v>19</v>
      </c>
      <c r="F1" s="10" t="s">
        <v>7</v>
      </c>
      <c r="G1" s="26" t="s">
        <v>4</v>
      </c>
      <c r="H1" s="14" t="s">
        <v>20</v>
      </c>
      <c r="I1" s="14" t="s">
        <v>19</v>
      </c>
      <c r="J1" s="27" t="s">
        <v>8</v>
      </c>
      <c r="K1" s="10" t="s">
        <v>28</v>
      </c>
      <c r="L1" s="4" t="s">
        <v>9</v>
      </c>
    </row>
    <row r="2" spans="1:12" x14ac:dyDescent="0.25">
      <c r="A2">
        <f>IF(Pesos_Blancos!A2&lt;&gt;"",Pesos_Blancos!A2,"")</f>
        <v>6530</v>
      </c>
      <c r="B2" s="25">
        <f>IF(AND(A2&lt;&gt;"",Filtros_Muestra!N4&lt;&gt;""),Filtros_Muestra!N4,"")</f>
        <v>31.655999999999999</v>
      </c>
      <c r="C2" s="19">
        <f>IF(AND(A2&lt;&gt;"",Filtros_Muestra!O4&lt;&gt;""),Filtros_Muestra!O4,"")</f>
        <v>44824.417928240742</v>
      </c>
      <c r="D2">
        <f>IF(AND(A2&lt;&gt;"",Filtros_Muestra!R4&lt;&gt;""),Filtros_Muestra!R4,"")</f>
        <v>44.5</v>
      </c>
      <c r="E2">
        <f>IF(AND(A2&lt;&gt;"",Filtros_Muestra!S4&lt;&gt;""),Filtros_Muestra!S4,"")</f>
        <v>19.400000000000002</v>
      </c>
      <c r="F2" s="25">
        <f>IF(AND(A2&lt;&gt;"",Filtros_Muestra!T4&lt;&gt;""),Filtros_Muestra!T4,"")</f>
        <v>31.664999999999999</v>
      </c>
      <c r="G2" s="19">
        <f>IF(AND(A2&lt;&gt;"",Filtros_Muestra!U4&lt;&gt;""),Filtros_Muestra!U4,"")</f>
        <v>44824.576724537037</v>
      </c>
      <c r="H2">
        <f>IF(AND(A2&lt;&gt;"",Filtros_Muestra!X4&lt;&gt;""),Filtros_Muestra!X4,"")</f>
        <v>44.800000000000004</v>
      </c>
      <c r="I2">
        <f>IF(AND(A2&lt;&gt;"",Filtros_Muestra!Y4&lt;&gt;""),Filtros_Muestra!Y4,"")</f>
        <v>20.400000000000002</v>
      </c>
      <c r="J2" s="25">
        <f>IF(AND(A2&lt;&gt;"",Filtros_Muestra!Z4&lt;&gt;""),Filtros_Muestra!Z4,"")</f>
        <v>31.660499999999999</v>
      </c>
      <c r="K2" s="25" t="str">
        <f>IF(AND(A2&lt;&gt;"",Filtros_Muestra!AA4&lt;&gt;""),Filtros_Muestra!AA4,"")</f>
        <v>Verifique</v>
      </c>
    </row>
    <row r="3" spans="1:12" x14ac:dyDescent="0.25">
      <c r="A3">
        <f>IF(Pesos_Blancos!A3&lt;&gt;"",Pesos_Blancos!A3,"")</f>
        <v>6532</v>
      </c>
      <c r="B3" s="25">
        <f>IF(AND(A3&lt;&gt;"",Filtros_Muestra!N5&lt;&gt;""),Filtros_Muestra!N5,"")</f>
        <v>36.993000000000002</v>
      </c>
      <c r="C3" s="19">
        <f>IF(AND(A3&lt;&gt;"",Filtros_Muestra!O5&lt;&gt;""),Filtros_Muestra!O5,"")</f>
        <v>44824.418483796297</v>
      </c>
      <c r="D3">
        <f>IF(AND(A3&lt;&gt;"",Filtros_Muestra!R5&lt;&gt;""),Filtros_Muestra!R5,"")</f>
        <v>44.5</v>
      </c>
      <c r="E3">
        <f>IF(AND(A3&lt;&gt;"",Filtros_Muestra!S5&lt;&gt;""),Filtros_Muestra!S5,"")</f>
        <v>19.400000000000002</v>
      </c>
      <c r="F3" s="25">
        <f>IF(AND(A3&lt;&gt;"",Filtros_Muestra!T5&lt;&gt;""),Filtros_Muestra!T5,"")</f>
        <v>36.984999999999999</v>
      </c>
      <c r="G3" s="19">
        <f>IF(AND(A3&lt;&gt;"",Filtros_Muestra!U5&lt;&gt;""),Filtros_Muestra!U5,"")</f>
        <v>44824.577291666668</v>
      </c>
      <c r="H3">
        <f>IF(AND(A3&lt;&gt;"",Filtros_Muestra!X5&lt;&gt;""),Filtros_Muestra!X5,"")</f>
        <v>44.800000000000004</v>
      </c>
      <c r="I3">
        <f>IF(AND(A3&lt;&gt;"",Filtros_Muestra!Y5&lt;&gt;""),Filtros_Muestra!Y5,"")</f>
        <v>20.400000000000002</v>
      </c>
      <c r="J3" s="25">
        <f>IF(AND(A3&lt;&gt;"",Filtros_Muestra!Z5&lt;&gt;""),Filtros_Muestra!Z5,"")</f>
        <v>36.989000000000004</v>
      </c>
      <c r="K3" s="25" t="str">
        <f>IF(A3&lt;&gt;"",Filtros_Muestra!AA5,"")</f>
        <v>Verifique</v>
      </c>
    </row>
    <row r="4" spans="1:12" x14ac:dyDescent="0.25">
      <c r="A4" t="str">
        <f>IF(Pesos_Blancos!A4&lt;&gt;"",Pesos_Blancos!A4,"")</f>
        <v>QC 9</v>
      </c>
      <c r="B4" s="25">
        <f>IF(AND(A4&lt;&gt;"",Filtros_Muestra!N6&lt;&gt;""),Filtros_Muestra!N6,"")</f>
        <v>9.9920000000000009</v>
      </c>
      <c r="C4" s="19">
        <f>IF(AND(A4&lt;&gt;"",Filtros_Muestra!O6&lt;&gt;""),Filtros_Muestra!O6,"")</f>
        <v>44824.419699074075</v>
      </c>
      <c r="D4">
        <f>IF(AND(A4&lt;&gt;"",Filtros_Muestra!R6&lt;&gt;""),Filtros_Muestra!R6,"")</f>
        <v>44</v>
      </c>
      <c r="E4">
        <f>IF(AND(A4&lt;&gt;"",Filtros_Muestra!S6&lt;&gt;""),Filtros_Muestra!S6,"")</f>
        <v>19.400000000000002</v>
      </c>
      <c r="F4" s="25">
        <f>IF(AND(A4&lt;&gt;"",Filtros_Muestra!T6&lt;&gt;""),Filtros_Muestra!T6,"")</f>
        <v>9.9930000000000003</v>
      </c>
      <c r="G4" s="19">
        <f>IF(AND(A4&lt;&gt;"",Filtros_Muestra!U6&lt;&gt;""),Filtros_Muestra!U6,"")</f>
        <v>44824.578483796293</v>
      </c>
      <c r="H4">
        <f>IF(AND(A4&lt;&gt;"",Filtros_Muestra!X6&lt;&gt;""),Filtros_Muestra!X6,"")</f>
        <v>44</v>
      </c>
      <c r="I4">
        <f>IF(AND(A4&lt;&gt;"",Filtros_Muestra!Y6&lt;&gt;""),Filtros_Muestra!Y6,"")</f>
        <v>20.5</v>
      </c>
      <c r="J4" s="25">
        <f>IF(AND(A4&lt;&gt;"",Filtros_Muestra!Z6&lt;&gt;""),Filtros_Muestra!Z6,"")</f>
        <v>9.9930000000000003</v>
      </c>
      <c r="K4" s="25">
        <f>IF(A4&lt;&gt;"",Filtros_Muestra!AA6,"")</f>
        <v>9.9930000000000003</v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2VJdTVpUPnZwxQYvybVvKxwnAc5wnFHq2YM+IjbD5zK1L6gwF8AoTaJyzw2cKU5MGmzb+lxomvxrHpztFBOE4A==" saltValue="LXuiYlC/Rhs4SS1rsuHbSQ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C61649B-4344-4C54-AC0B-A141720F2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1141E4-AB85-49F1-A964-B9FA7EA250E7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1590A29A-3D55-4BB3-B5A2-DC8199187D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2022-08-17T16:50:49Z</cp:lastPrinted>
  <dcterms:created xsi:type="dcterms:W3CDTF">2022-02-07T17:43:38Z</dcterms:created>
  <dcterms:modified xsi:type="dcterms:W3CDTF">2022-09-24T13:21:04Z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